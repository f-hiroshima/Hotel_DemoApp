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f-hiroshima\Documents\Practice\HotelTrainingTest\HotelTrainingTest\Data\"/>
    </mc:Choice>
  </mc:AlternateContent>
  <xr:revisionPtr revIDLastSave="0" documentId="13_ncr:1_{7FF73F0E-B9C3-48CE-88BE-51A3812B5926}" xr6:coauthVersionLast="47" xr6:coauthVersionMax="47" xr10:uidLastSave="{00000000-0000-0000-0000-000000000000}"/>
  <bookViews>
    <workbookView xWindow="-22116" yWindow="1044" windowWidth="13680" windowHeight="10488" firstSheet="2" activeTab="6" xr2:uid="{F011ABDF-1399-4AF5-AF81-6589731591C5}"/>
  </bookViews>
  <sheets>
    <sheet name="IamageVal_base" sheetId="8" r:id="rId1"/>
    <sheet name="T01" sheetId="1" r:id="rId2"/>
    <sheet name="T02" sheetId="2" r:id="rId3"/>
    <sheet name="T03-1" sheetId="4" r:id="rId4"/>
    <sheet name="T03-2" sheetId="5" r:id="rId5"/>
    <sheet name="T03-3" sheetId="6" r:id="rId6"/>
    <sheet name="T03-4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2" i="6"/>
  <c r="G9" i="4"/>
  <c r="G8" i="4"/>
  <c r="G7" i="4"/>
  <c r="G6" i="4"/>
  <c r="G5" i="4"/>
  <c r="G4" i="4"/>
  <c r="G3" i="4"/>
  <c r="G2" i="4"/>
  <c r="I16" i="2"/>
  <c r="I15" i="2"/>
  <c r="I14" i="2"/>
  <c r="I13" i="2"/>
  <c r="G15" i="2"/>
  <c r="I12" i="2"/>
  <c r="I11" i="2"/>
  <c r="G14" i="2"/>
  <c r="G13" i="2"/>
  <c r="G12" i="2"/>
  <c r="I10" i="2"/>
  <c r="G10" i="2"/>
  <c r="G11" i="2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2" i="2"/>
  <c r="I2" i="2" s="1"/>
  <c r="C3" i="1"/>
  <c r="C4" i="1"/>
  <c r="C5" i="1"/>
  <c r="C2" i="1"/>
</calcChain>
</file>

<file path=xl/sharedStrings.xml><?xml version="1.0" encoding="utf-8"?>
<sst xmlns="http://schemas.openxmlformats.org/spreadsheetml/2006/main" count="176" uniqueCount="69">
  <si>
    <t>id</t>
    <phoneticPr fontId="2"/>
  </si>
  <si>
    <t>1</t>
    <phoneticPr fontId="2"/>
  </si>
  <si>
    <t>name</t>
    <phoneticPr fontId="1"/>
  </si>
  <si>
    <t>checkMessage</t>
    <phoneticPr fontId="2"/>
  </si>
  <si>
    <t>テスト太郎</t>
    <rPh sb="3" eb="5">
      <t>タロウ</t>
    </rPh>
    <phoneticPr fontId="1"/>
  </si>
  <si>
    <t>4</t>
    <phoneticPr fontId="1"/>
  </si>
  <si>
    <t>John</t>
    <phoneticPr fontId="1"/>
  </si>
  <si>
    <t>Taro12</t>
    <phoneticPr fontId="1"/>
  </si>
  <si>
    <t>firstName</t>
    <phoneticPr fontId="1"/>
  </si>
  <si>
    <t>lastName</t>
    <phoneticPr fontId="2"/>
  </si>
  <si>
    <t>age</t>
    <phoneticPr fontId="1"/>
  </si>
  <si>
    <t>department</t>
    <phoneticPr fontId="1"/>
  </si>
  <si>
    <t>genderType</t>
    <phoneticPr fontId="1"/>
  </si>
  <si>
    <t>Test</t>
    <phoneticPr fontId="1"/>
  </si>
  <si>
    <t>テスト</t>
    <phoneticPr fontId="1"/>
  </si>
  <si>
    <t>太郎</t>
    <rPh sb="0" eb="2">
      <t>タロウ</t>
    </rPh>
    <phoneticPr fontId="1"/>
  </si>
  <si>
    <t>花子</t>
    <rPh sb="0" eb="2">
      <t>ハナコ</t>
    </rPh>
    <phoneticPr fontId="1"/>
  </si>
  <si>
    <t>Development</t>
  </si>
  <si>
    <t>Management</t>
  </si>
  <si>
    <t>Marketing</t>
  </si>
  <si>
    <t>Office</t>
  </si>
  <si>
    <t>Project Management</t>
  </si>
  <si>
    <t>Sales</t>
  </si>
  <si>
    <t>Support</t>
  </si>
  <si>
    <t>Testing</t>
  </si>
  <si>
    <t>6</t>
    <phoneticPr fontId="1"/>
  </si>
  <si>
    <t>30</t>
    <phoneticPr fontId="1"/>
  </si>
  <si>
    <t>40</t>
  </si>
  <si>
    <t>50</t>
  </si>
  <si>
    <t>60</t>
  </si>
  <si>
    <t>70</t>
  </si>
  <si>
    <t>80</t>
  </si>
  <si>
    <t>Taro</t>
    <phoneticPr fontId="1"/>
  </si>
  <si>
    <t>Hanako</t>
    <phoneticPr fontId="1"/>
  </si>
  <si>
    <t>Smith</t>
    <phoneticPr fontId="1"/>
  </si>
  <si>
    <t>James</t>
    <phoneticPr fontId="1"/>
  </si>
  <si>
    <t>Johnson</t>
    <phoneticPr fontId="1"/>
  </si>
  <si>
    <t>Jane</t>
    <phoneticPr fontId="1"/>
  </si>
  <si>
    <t>Doe</t>
    <phoneticPr fontId="1"/>
  </si>
  <si>
    <t>Mary</t>
    <phoneticPr fontId="1"/>
  </si>
  <si>
    <t>personList</t>
    <phoneticPr fontId="2"/>
  </si>
  <si>
    <t>numberOfEntries</t>
    <phoneticPr fontId="1"/>
  </si>
  <si>
    <t>Male</t>
  </si>
  <si>
    <t>Female</t>
  </si>
  <si>
    <t>genderType(abc...)</t>
    <phoneticPr fontId="1"/>
  </si>
  <si>
    <t>&lt;ignore&gt;</t>
    <phoneticPr fontId="1"/>
  </si>
  <si>
    <t>10</t>
    <phoneticPr fontId="1"/>
  </si>
  <si>
    <t>11</t>
    <phoneticPr fontId="1"/>
  </si>
  <si>
    <t>9</t>
    <phoneticPr fontId="1"/>
  </si>
  <si>
    <t>90</t>
    <phoneticPr fontId="1"/>
  </si>
  <si>
    <t>1</t>
    <phoneticPr fontId="1"/>
  </si>
  <si>
    <t>12</t>
    <phoneticPr fontId="1"/>
  </si>
  <si>
    <t>-1</t>
    <phoneticPr fontId="1"/>
  </si>
  <si>
    <t>13</t>
  </si>
  <si>
    <t>100</t>
    <phoneticPr fontId="1"/>
  </si>
  <si>
    <t>101</t>
    <phoneticPr fontId="1"/>
  </si>
  <si>
    <t>14</t>
    <phoneticPr fontId="1"/>
  </si>
  <si>
    <t>15</t>
  </si>
  <si>
    <t>8</t>
    <phoneticPr fontId="1"/>
  </si>
  <si>
    <t>baseEvidenceFolderPath</t>
    <phoneticPr fontId="1"/>
  </si>
  <si>
    <t>baseResultFolderPath</t>
    <phoneticPr fontId="1"/>
  </si>
  <si>
    <t>baseTargetFolderPath</t>
    <phoneticPr fontId="1"/>
  </si>
  <si>
    <t>fileExtension</t>
    <phoneticPr fontId="2"/>
  </si>
  <si>
    <t>C:\evidence\トレーニング\</t>
    <phoneticPr fontId="1"/>
  </si>
  <si>
    <t>C:\evidence\トレーニング\result\</t>
    <phoneticPr fontId="1"/>
  </si>
  <si>
    <t>C:\evidence\トレーニング\比較画像\</t>
    <rPh sb="19" eb="21">
      <t>ヒカク</t>
    </rPh>
    <rPh sb="21" eb="23">
      <t>ガゾウ</t>
    </rPh>
    <phoneticPr fontId="1"/>
  </si>
  <si>
    <t>.jpg</t>
    <phoneticPr fontId="2"/>
  </si>
  <si>
    <t>targetName</t>
    <phoneticPr fontId="1"/>
  </si>
  <si>
    <t>T03_TestDatabase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</si>
</sst>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/>
    <xf numFmtId="0" fontId="0" fillId="0" borderId="1" xfId="0" applyBorder="1"/>
    <xf numFmtId="49" fontId="0" fillId="0" borderId="0" xfId="0" applyNumberFormat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9139-F01D-47C2-8E29-B109F3AE0B29}">
  <dimension ref="A1:D2"/>
  <sheetViews>
    <sheetView workbookViewId="0">
      <selection activeCell="D1" sqref="D1:D2"/>
    </sheetView>
  </sheetViews>
  <sheetFormatPr defaultRowHeight="18.75"/>
  <cols>
    <col min="1" max="1" width="26" bestFit="1" customWidth="1"/>
    <col min="2" max="2" width="32.625" bestFit="1" customWidth="1"/>
    <col min="3" max="3" width="35.5" bestFit="1" customWidth="1"/>
    <col min="4" max="4" width="12.75" bestFit="1" customWidth="1"/>
  </cols>
  <sheetData>
    <row r="1" spans="1:4">
      <c r="A1" s="7" t="s">
        <v>59</v>
      </c>
      <c r="B1" s="7" t="s">
        <v>60</v>
      </c>
      <c r="C1" s="7" t="s">
        <v>61</v>
      </c>
      <c r="D1" s="1" t="s">
        <v>62</v>
      </c>
    </row>
    <row r="2" spans="1:4">
      <c r="A2" s="5" t="s">
        <v>63</v>
      </c>
      <c r="B2" s="5" t="s">
        <v>64</v>
      </c>
      <c r="C2" s="5" t="s">
        <v>65</v>
      </c>
      <c r="D2" s="2" t="s">
        <v>66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8.75"/>
  <cols>
    <col min="1" max="1" width="3.125" bestFit="1" customWidth="1"/>
    <col min="2" max="2" width="12.5" bestFit="1" customWidth="1"/>
    <col min="3" max="3" width="20.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2" t="s">
        <v>1</v>
      </c>
      <c r="B2" s="2" t="s">
        <v>4</v>
      </c>
      <c r="C2" s="3" t="str">
        <f>IF($B2="","Welcome!","Welcome, "&amp;$B2&amp;"!")</f>
        <v>Welcome, テスト太郎!</v>
      </c>
    </row>
    <row r="3" spans="1:3">
      <c r="A3" s="4">
        <v>2</v>
      </c>
      <c r="B3" s="4" t="s">
        <v>6</v>
      </c>
      <c r="C3" s="3" t="str">
        <f t="shared" ref="C3:C5" si="0">IF($B3="","Welcome!","Welcome, "&amp;$B3&amp;"!")</f>
        <v>Welcome, John!</v>
      </c>
    </row>
    <row r="4" spans="1:3">
      <c r="A4" s="4">
        <v>3</v>
      </c>
      <c r="B4" s="4" t="s">
        <v>7</v>
      </c>
      <c r="C4" s="3" t="str">
        <f t="shared" si="0"/>
        <v>Welcome, Taro12!</v>
      </c>
    </row>
    <row r="5" spans="1:3">
      <c r="A5" s="2" t="s">
        <v>5</v>
      </c>
      <c r="B5" s="4"/>
      <c r="C5" s="3" t="str">
        <f t="shared" si="0"/>
        <v>Welcome!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ACF1-4869-492D-A857-A1033047F741}">
  <dimension ref="A1:I16"/>
  <sheetViews>
    <sheetView workbookViewId="0"/>
  </sheetViews>
  <sheetFormatPr defaultRowHeight="18.75"/>
  <cols>
    <col min="1" max="1" width="3.125" bestFit="1" customWidth="1"/>
    <col min="2" max="2" width="9.875" bestFit="1" customWidth="1"/>
    <col min="3" max="3" width="9.625" bestFit="1" customWidth="1"/>
    <col min="4" max="4" width="20.25" bestFit="1" customWidth="1"/>
    <col min="5" max="5" width="9.5" style="6" bestFit="1" customWidth="1"/>
    <col min="6" max="6" width="11.625" style="6" bestFit="1" customWidth="1"/>
    <col min="7" max="7" width="18.5" bestFit="1" customWidth="1"/>
    <col min="8" max="8" width="16.75" bestFit="1" customWidth="1"/>
    <col min="9" max="9" width="41.5" bestFit="1" customWidth="1"/>
  </cols>
  <sheetData>
    <row r="1" spans="1:9">
      <c r="A1" s="1" t="s">
        <v>0</v>
      </c>
      <c r="B1" s="1" t="s">
        <v>8</v>
      </c>
      <c r="C1" s="1" t="s">
        <v>9</v>
      </c>
      <c r="D1" s="1" t="s">
        <v>11</v>
      </c>
      <c r="E1" s="1" t="s">
        <v>10</v>
      </c>
      <c r="F1" s="1" t="s">
        <v>12</v>
      </c>
      <c r="G1" s="1" t="s">
        <v>44</v>
      </c>
      <c r="H1" s="1" t="s">
        <v>41</v>
      </c>
      <c r="I1" s="1" t="s">
        <v>40</v>
      </c>
    </row>
    <row r="2" spans="1:9">
      <c r="A2" s="2" t="s">
        <v>1</v>
      </c>
      <c r="B2" s="2" t="s">
        <v>14</v>
      </c>
      <c r="C2" s="2" t="s">
        <v>15</v>
      </c>
      <c r="D2" s="4" t="s">
        <v>17</v>
      </c>
      <c r="E2" s="4">
        <v>10</v>
      </c>
      <c r="F2" s="4" t="s">
        <v>42</v>
      </c>
      <c r="G2" s="4" t="str">
        <f>LOWER(LEFT(F2,1)) &amp; MID(F2,2,LEN(F2)-1)</f>
        <v>male</v>
      </c>
      <c r="H2" s="4">
        <v>1</v>
      </c>
      <c r="I2" s="5" t="str">
        <f>$B2 &amp;" "&amp;$C2&amp;" ("&amp;$G2&amp;", "&amp;$E2&amp;") "&amp;$D2</f>
        <v>テスト 太郎 (male, 10) Development</v>
      </c>
    </row>
    <row r="3" spans="1:9">
      <c r="A3" s="4">
        <v>2</v>
      </c>
      <c r="B3" s="2" t="s">
        <v>14</v>
      </c>
      <c r="C3" s="4" t="s">
        <v>16</v>
      </c>
      <c r="D3" s="4" t="s">
        <v>18</v>
      </c>
      <c r="E3" s="4">
        <v>20</v>
      </c>
      <c r="F3" s="4" t="s">
        <v>43</v>
      </c>
      <c r="G3" s="4" t="str">
        <f t="shared" ref="G3:G8" si="0">LOWER(LEFT(F3,1)) &amp; MID(F3,2,LEN(F3)-1)</f>
        <v>female</v>
      </c>
      <c r="H3" s="4">
        <v>1</v>
      </c>
      <c r="I3" s="5" t="str">
        <f t="shared" ref="I3:I8" si="1">$B3 &amp;" "&amp;$C3&amp;" ("&amp;$G3&amp;", "&amp;$E3&amp;") "&amp;$D3</f>
        <v>テスト 花子 (female, 20) Management</v>
      </c>
    </row>
    <row r="4" spans="1:9">
      <c r="A4" s="4">
        <v>3</v>
      </c>
      <c r="B4" s="4" t="s">
        <v>13</v>
      </c>
      <c r="C4" s="4" t="s">
        <v>32</v>
      </c>
      <c r="D4" s="4" t="s">
        <v>19</v>
      </c>
      <c r="E4" s="4" t="s">
        <v>26</v>
      </c>
      <c r="F4" s="4" t="s">
        <v>42</v>
      </c>
      <c r="G4" s="4" t="str">
        <f t="shared" si="0"/>
        <v>male</v>
      </c>
      <c r="H4" s="4">
        <v>1</v>
      </c>
      <c r="I4" s="5" t="str">
        <f t="shared" si="1"/>
        <v>Test Taro (male, 30) Marketing</v>
      </c>
    </row>
    <row r="5" spans="1:9">
      <c r="A5" s="4">
        <v>4</v>
      </c>
      <c r="B5" s="4" t="s">
        <v>13</v>
      </c>
      <c r="C5" s="4" t="s">
        <v>33</v>
      </c>
      <c r="D5" s="4" t="s">
        <v>20</v>
      </c>
      <c r="E5" s="4" t="s">
        <v>27</v>
      </c>
      <c r="F5" s="4" t="s">
        <v>43</v>
      </c>
      <c r="G5" s="4" t="str">
        <f t="shared" si="0"/>
        <v>female</v>
      </c>
      <c r="H5" s="4">
        <v>1</v>
      </c>
      <c r="I5" s="5" t="str">
        <f t="shared" si="1"/>
        <v>Test Hanako (female, 40) Office</v>
      </c>
    </row>
    <row r="6" spans="1:9">
      <c r="A6" s="4">
        <v>5</v>
      </c>
      <c r="B6" s="4" t="s">
        <v>6</v>
      </c>
      <c r="C6" s="4" t="s">
        <v>34</v>
      </c>
      <c r="D6" s="4" t="s">
        <v>21</v>
      </c>
      <c r="E6" s="4" t="s">
        <v>28</v>
      </c>
      <c r="F6" s="4" t="s">
        <v>42</v>
      </c>
      <c r="G6" s="4" t="str">
        <f t="shared" si="0"/>
        <v>male</v>
      </c>
      <c r="H6" s="4">
        <v>1</v>
      </c>
      <c r="I6" s="5" t="str">
        <f t="shared" si="1"/>
        <v>John Smith (male, 50) Project Management</v>
      </c>
    </row>
    <row r="7" spans="1:9">
      <c r="A7" s="2" t="s">
        <v>25</v>
      </c>
      <c r="B7" s="4" t="s">
        <v>37</v>
      </c>
      <c r="C7" s="4" t="s">
        <v>38</v>
      </c>
      <c r="D7" s="4" t="s">
        <v>22</v>
      </c>
      <c r="E7" s="4" t="s">
        <v>29</v>
      </c>
      <c r="F7" s="4" t="s">
        <v>43</v>
      </c>
      <c r="G7" s="4" t="str">
        <f t="shared" si="0"/>
        <v>female</v>
      </c>
      <c r="H7" s="4">
        <v>1</v>
      </c>
      <c r="I7" s="5" t="str">
        <f t="shared" si="1"/>
        <v>Jane Doe (female, 60) Sales</v>
      </c>
    </row>
    <row r="8" spans="1:9">
      <c r="A8" s="4">
        <v>7</v>
      </c>
      <c r="B8" s="4" t="s">
        <v>35</v>
      </c>
      <c r="C8" s="4" t="s">
        <v>36</v>
      </c>
      <c r="D8" s="4" t="s">
        <v>23</v>
      </c>
      <c r="E8" s="4" t="s">
        <v>30</v>
      </c>
      <c r="F8" s="4" t="s">
        <v>42</v>
      </c>
      <c r="G8" s="4" t="str">
        <f t="shared" si="0"/>
        <v>male</v>
      </c>
      <c r="H8" s="4">
        <v>1</v>
      </c>
      <c r="I8" s="5" t="str">
        <f t="shared" si="1"/>
        <v>James Johnson (male, 70) Support</v>
      </c>
    </row>
    <row r="9" spans="1:9">
      <c r="A9" s="4">
        <v>8</v>
      </c>
      <c r="B9" s="4" t="s">
        <v>39</v>
      </c>
      <c r="C9" s="4" t="s">
        <v>34</v>
      </c>
      <c r="D9" s="4" t="s">
        <v>24</v>
      </c>
      <c r="E9" s="4" t="s">
        <v>31</v>
      </c>
      <c r="F9" s="4" t="s">
        <v>43</v>
      </c>
      <c r="G9" s="4" t="str">
        <f>LOWER(LEFT(F9,1)) &amp; MID(F9,2,LEN(F9)-1)</f>
        <v>female</v>
      </c>
      <c r="H9" s="4">
        <v>1</v>
      </c>
      <c r="I9" s="5" t="str">
        <f>$B9 &amp;" "&amp;$C9&amp;" ("&amp;$G9&amp;", "&amp;$E9&amp;") "&amp;$D9</f>
        <v>Mary Smith (female, 80) Testing</v>
      </c>
    </row>
    <row r="10" spans="1:9">
      <c r="A10" s="4" t="s">
        <v>48</v>
      </c>
      <c r="B10" s="4" t="s">
        <v>45</v>
      </c>
      <c r="C10" s="2" t="s">
        <v>15</v>
      </c>
      <c r="D10" s="4" t="s">
        <v>17</v>
      </c>
      <c r="E10" s="4" t="s">
        <v>49</v>
      </c>
      <c r="F10" s="4" t="s">
        <v>42</v>
      </c>
      <c r="G10" s="4" t="str">
        <f t="shared" ref="G10:G11" si="2">LOWER(LEFT(F10,1)) &amp; MID(F10,2,LEN(F10)-1)</f>
        <v>male</v>
      </c>
      <c r="H10" s="4" t="s">
        <v>50</v>
      </c>
      <c r="I10" s="5" t="str">
        <f>" "&amp;$C10&amp;" ("&amp;$G10&amp;", "&amp;$E10&amp;") "&amp;$D10</f>
        <v xml:space="preserve"> 太郎 (male, 90) Development</v>
      </c>
    </row>
    <row r="11" spans="1:9">
      <c r="A11" s="4" t="s">
        <v>46</v>
      </c>
      <c r="B11" s="2" t="s">
        <v>14</v>
      </c>
      <c r="C11" s="4" t="s">
        <v>45</v>
      </c>
      <c r="D11" s="4" t="s">
        <v>18</v>
      </c>
      <c r="E11" s="4" t="s">
        <v>54</v>
      </c>
      <c r="F11" s="4" t="s">
        <v>42</v>
      </c>
      <c r="G11" s="4" t="str">
        <f t="shared" si="2"/>
        <v>male</v>
      </c>
      <c r="H11" s="4" t="s">
        <v>50</v>
      </c>
      <c r="I11" s="5" t="str">
        <f>$B11 &amp;" "&amp;" ("&amp;$G11&amp;", "&amp;$E11&amp;") "&amp;$D11</f>
        <v>テスト  (male, 100) Management</v>
      </c>
    </row>
    <row r="12" spans="1:9">
      <c r="A12" s="4" t="s">
        <v>47</v>
      </c>
      <c r="B12" s="2" t="s">
        <v>14</v>
      </c>
      <c r="C12" s="2" t="s">
        <v>15</v>
      </c>
      <c r="D12" s="4" t="s">
        <v>45</v>
      </c>
      <c r="E12" s="4" t="s">
        <v>46</v>
      </c>
      <c r="F12" s="4" t="s">
        <v>42</v>
      </c>
      <c r="G12" s="4" t="str">
        <f>LOWER(LEFT(F12,1)) &amp; MID(F12,2,LEN(F12)-1)</f>
        <v>male</v>
      </c>
      <c r="H12" s="4">
        <v>1</v>
      </c>
      <c r="I12" s="5" t="str">
        <f>$B12 &amp;" "&amp;$C12&amp;" ("&amp;$G12&amp;", "&amp;$E12&amp;") (no department)"</f>
        <v>テスト 太郎 (male, 10) (no department)</v>
      </c>
    </row>
    <row r="13" spans="1:9">
      <c r="A13" s="4" t="s">
        <v>51</v>
      </c>
      <c r="B13" s="2" t="s">
        <v>14</v>
      </c>
      <c r="C13" s="2" t="s">
        <v>15</v>
      </c>
      <c r="D13" s="4" t="s">
        <v>19</v>
      </c>
      <c r="E13" s="4" t="s">
        <v>52</v>
      </c>
      <c r="F13" s="4" t="s">
        <v>42</v>
      </c>
      <c r="G13" s="4" t="str">
        <f>LOWER(LEFT(F13,1)) &amp; MID(F13,2,LEN(F13)-1)</f>
        <v>male</v>
      </c>
      <c r="H13" s="4">
        <v>1</v>
      </c>
      <c r="I13" s="5" t="str">
        <f>$B13 &amp;" "&amp;$C13&amp;" ("&amp;$G13&amp;", 0) "&amp;$D13</f>
        <v>テスト 太郎 (male, 0) Marketing</v>
      </c>
    </row>
    <row r="14" spans="1:9">
      <c r="A14" s="4" t="s">
        <v>53</v>
      </c>
      <c r="B14" s="2" t="s">
        <v>14</v>
      </c>
      <c r="C14" s="2" t="s">
        <v>15</v>
      </c>
      <c r="D14" s="4" t="s">
        <v>20</v>
      </c>
      <c r="E14" s="4" t="s">
        <v>55</v>
      </c>
      <c r="F14" s="4" t="s">
        <v>42</v>
      </c>
      <c r="G14" s="4" t="str">
        <f>LOWER(LEFT(F14,1)) &amp; MID(F14,2,LEN(F14)-1)</f>
        <v>male</v>
      </c>
      <c r="H14" s="4" t="s">
        <v>50</v>
      </c>
      <c r="I14" s="5" t="str">
        <f>$B14 &amp;" "&amp;$C14&amp;" ("&amp;$G14&amp;", 100) "&amp;$D14</f>
        <v>テスト 太郎 (male, 100) Office</v>
      </c>
    </row>
    <row r="15" spans="1:9">
      <c r="A15" s="4" t="s">
        <v>56</v>
      </c>
      <c r="B15" s="2" t="s">
        <v>14</v>
      </c>
      <c r="C15" s="2" t="s">
        <v>15</v>
      </c>
      <c r="D15" s="4" t="s">
        <v>21</v>
      </c>
      <c r="E15" s="4" t="s">
        <v>45</v>
      </c>
      <c r="F15" s="4" t="s">
        <v>42</v>
      </c>
      <c r="G15" s="4" t="str">
        <f>LOWER(LEFT(F15,1)) &amp; MID(F15,2,LEN(F15)-1)</f>
        <v>male</v>
      </c>
      <c r="H15" s="4" t="s">
        <v>50</v>
      </c>
      <c r="I15" s="5" t="str">
        <f>$B15 &amp;" "&amp;$C15&amp;" ("&amp;$G15&amp;", 0) "&amp;$D15</f>
        <v>テスト 太郎 (male, 0) Project Management</v>
      </c>
    </row>
    <row r="16" spans="1:9">
      <c r="A16" s="4" t="s">
        <v>57</v>
      </c>
      <c r="B16" s="2" t="s">
        <v>14</v>
      </c>
      <c r="C16" s="2" t="s">
        <v>15</v>
      </c>
      <c r="D16" s="4" t="s">
        <v>22</v>
      </c>
      <c r="E16" s="4" t="s">
        <v>31</v>
      </c>
      <c r="F16" s="4" t="s">
        <v>45</v>
      </c>
      <c r="G16" s="4"/>
      <c r="H16" s="4" t="s">
        <v>50</v>
      </c>
      <c r="I16" s="5" t="str">
        <f>$B16 &amp;" "&amp;$C16&amp;" ("&amp;$E16&amp;") "&amp;$D16</f>
        <v>テスト 太郎 (80) Sales</v>
      </c>
    </row>
  </sheetData>
  <phoneticPr fontId="1"/>
  <dataValidations count="2">
    <dataValidation type="list" allowBlank="1" showInputMessage="1" showErrorMessage="1" sqref="D2:D11 D13:D16" xr:uid="{6902D157-FCF3-4CE3-A65F-F0A9C9C2E1BB}">
      <formula1>"Development,Management,Marketing,Office,Project Management,Sales,Support,Testing"</formula1>
    </dataValidation>
    <dataValidation type="list" allowBlank="1" showInputMessage="1" showErrorMessage="1" sqref="F2:F15" xr:uid="{3D58E569-DF6B-4B59-B932-B67A98A5DC3F}">
      <formula1>"Male,Female"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0FB0-3536-4C87-9759-AF6D22F077C7}">
  <dimension ref="A1:G9"/>
  <sheetViews>
    <sheetView workbookViewId="0"/>
  </sheetViews>
  <sheetFormatPr defaultRowHeight="18.75"/>
  <cols>
    <col min="1" max="1" width="3.125" bestFit="1" customWidth="1"/>
    <col min="2" max="2" width="9.875" bestFit="1" customWidth="1"/>
    <col min="3" max="3" width="9.625" bestFit="1" customWidth="1"/>
    <col min="4" max="4" width="20.25" bestFit="1" customWidth="1"/>
    <col min="5" max="5" width="4.5" bestFit="1" customWidth="1"/>
    <col min="6" max="6" width="11.625" bestFit="1" customWidth="1"/>
    <col min="7" max="7" width="18.5" bestFit="1" customWidth="1"/>
  </cols>
  <sheetData>
    <row r="1" spans="1:7">
      <c r="A1" s="1" t="s">
        <v>0</v>
      </c>
      <c r="B1" s="1" t="s">
        <v>8</v>
      </c>
      <c r="C1" s="1" t="s">
        <v>9</v>
      </c>
      <c r="D1" s="1" t="s">
        <v>11</v>
      </c>
      <c r="E1" s="1" t="s">
        <v>10</v>
      </c>
      <c r="F1" s="1" t="s">
        <v>12</v>
      </c>
      <c r="G1" s="1" t="s">
        <v>44</v>
      </c>
    </row>
    <row r="2" spans="1:7">
      <c r="A2" s="2" t="s">
        <v>1</v>
      </c>
      <c r="B2" s="2" t="s">
        <v>14</v>
      </c>
      <c r="C2" s="2" t="s">
        <v>15</v>
      </c>
      <c r="D2" s="4" t="s">
        <v>17</v>
      </c>
      <c r="E2" s="4">
        <v>10</v>
      </c>
      <c r="F2" s="4" t="s">
        <v>42</v>
      </c>
      <c r="G2" s="4" t="str">
        <f>LOWER(LEFT(F2,1)) &amp; MID(F2,2,LEN(F2)-1)</f>
        <v>male</v>
      </c>
    </row>
    <row r="3" spans="1:7">
      <c r="A3" s="4">
        <v>2</v>
      </c>
      <c r="B3" s="2" t="s">
        <v>14</v>
      </c>
      <c r="C3" s="4" t="s">
        <v>16</v>
      </c>
      <c r="D3" s="4" t="s">
        <v>18</v>
      </c>
      <c r="E3" s="4">
        <v>20</v>
      </c>
      <c r="F3" s="4" t="s">
        <v>43</v>
      </c>
      <c r="G3" s="4" t="str">
        <f t="shared" ref="G3:G8" si="0">LOWER(LEFT(F3,1)) &amp; MID(F3,2,LEN(F3)-1)</f>
        <v>female</v>
      </c>
    </row>
    <row r="4" spans="1:7">
      <c r="A4" s="4">
        <v>3</v>
      </c>
      <c r="B4" s="4" t="s">
        <v>13</v>
      </c>
      <c r="C4" s="4" t="s">
        <v>32</v>
      </c>
      <c r="D4" s="4" t="s">
        <v>19</v>
      </c>
      <c r="E4" s="4" t="s">
        <v>26</v>
      </c>
      <c r="F4" s="4" t="s">
        <v>42</v>
      </c>
      <c r="G4" s="4" t="str">
        <f t="shared" si="0"/>
        <v>male</v>
      </c>
    </row>
    <row r="5" spans="1:7">
      <c r="A5" s="4">
        <v>4</v>
      </c>
      <c r="B5" s="4" t="s">
        <v>13</v>
      </c>
      <c r="C5" s="4" t="s">
        <v>33</v>
      </c>
      <c r="D5" s="4" t="s">
        <v>20</v>
      </c>
      <c r="E5" s="4" t="s">
        <v>27</v>
      </c>
      <c r="F5" s="4" t="s">
        <v>43</v>
      </c>
      <c r="G5" s="4" t="str">
        <f t="shared" si="0"/>
        <v>female</v>
      </c>
    </row>
    <row r="6" spans="1:7">
      <c r="A6" s="4">
        <v>5</v>
      </c>
      <c r="B6" s="4" t="s">
        <v>6</v>
      </c>
      <c r="C6" s="4" t="s">
        <v>34</v>
      </c>
      <c r="D6" s="4" t="s">
        <v>21</v>
      </c>
      <c r="E6" s="4" t="s">
        <v>28</v>
      </c>
      <c r="F6" s="4" t="s">
        <v>42</v>
      </c>
      <c r="G6" s="4" t="str">
        <f t="shared" si="0"/>
        <v>male</v>
      </c>
    </row>
    <row r="7" spans="1:7">
      <c r="A7" s="2" t="s">
        <v>25</v>
      </c>
      <c r="B7" s="4" t="s">
        <v>37</v>
      </c>
      <c r="C7" s="4" t="s">
        <v>38</v>
      </c>
      <c r="D7" s="4" t="s">
        <v>22</v>
      </c>
      <c r="E7" s="4" t="s">
        <v>29</v>
      </c>
      <c r="F7" s="4" t="s">
        <v>43</v>
      </c>
      <c r="G7" s="4" t="str">
        <f t="shared" si="0"/>
        <v>female</v>
      </c>
    </row>
    <row r="8" spans="1:7">
      <c r="A8" s="4">
        <v>7</v>
      </c>
      <c r="B8" s="4" t="s">
        <v>35</v>
      </c>
      <c r="C8" s="4" t="s">
        <v>36</v>
      </c>
      <c r="D8" s="4" t="s">
        <v>23</v>
      </c>
      <c r="E8" s="4" t="s">
        <v>30</v>
      </c>
      <c r="F8" s="4" t="s">
        <v>42</v>
      </c>
      <c r="G8" s="4" t="str">
        <f t="shared" si="0"/>
        <v>male</v>
      </c>
    </row>
    <row r="9" spans="1:7">
      <c r="A9" s="4">
        <v>8</v>
      </c>
      <c r="B9" s="4" t="s">
        <v>39</v>
      </c>
      <c r="C9" s="4" t="s">
        <v>34</v>
      </c>
      <c r="D9" s="4" t="s">
        <v>24</v>
      </c>
      <c r="E9" s="4" t="s">
        <v>31</v>
      </c>
      <c r="F9" s="4" t="s">
        <v>43</v>
      </c>
      <c r="G9" s="4" t="str">
        <f>LOWER(LEFT(F9,1)) &amp; MID(F9,2,LEN(F9)-1)</f>
        <v>female</v>
      </c>
    </row>
  </sheetData>
  <phoneticPr fontId="1"/>
  <dataValidations count="2">
    <dataValidation type="list" allowBlank="1" showInputMessage="1" showErrorMessage="1" sqref="F2:F9" xr:uid="{35224D76-87A8-4313-8D21-FB2308B5ACB9}">
      <formula1>"Male,Female"</formula1>
    </dataValidation>
    <dataValidation type="list" allowBlank="1" showInputMessage="1" showErrorMessage="1" sqref="D2:D9" xr:uid="{AA8781E0-6725-4CC1-AFB5-E9DA4B4FFEA7}">
      <formula1>"Development,Management,Marketing,Office,Project Management,Sales,Support,Testing"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AFCD-414E-4F16-8A6E-B9C53FF34C51}">
  <dimension ref="A1:B2"/>
  <sheetViews>
    <sheetView workbookViewId="0">
      <selection activeCell="B1" sqref="B1:B2"/>
    </sheetView>
  </sheetViews>
  <sheetFormatPr defaultRowHeight="18.75"/>
  <cols>
    <col min="1" max="1" width="3.125" bestFit="1" customWidth="1"/>
    <col min="2" max="2" width="16.75" bestFit="1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4" t="s">
        <v>58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0C2F-A7F0-4545-87AA-A7A58AAF66D8}">
  <dimension ref="A1:C9"/>
  <sheetViews>
    <sheetView workbookViewId="0"/>
  </sheetViews>
  <sheetFormatPr defaultRowHeight="18.75"/>
  <cols>
    <col min="1" max="1" width="3.125" bestFit="1" customWidth="1"/>
    <col min="2" max="2" width="16.75" bestFit="1" customWidth="1"/>
    <col min="3" max="3" width="41.5" bestFit="1" customWidth="1"/>
  </cols>
  <sheetData>
    <row r="1" spans="1:3">
      <c r="A1" s="1" t="s">
        <v>0</v>
      </c>
      <c r="B1" s="1" t="s">
        <v>41</v>
      </c>
      <c r="C1" s="1" t="s">
        <v>40</v>
      </c>
    </row>
    <row r="2" spans="1:3">
      <c r="A2" s="2" t="s">
        <v>1</v>
      </c>
      <c r="B2" s="4">
        <v>8</v>
      </c>
      <c r="C2" s="5" t="str">
        <f>'T03-1'!B2 &amp;" "&amp;'T03-1'!C2&amp;" ("&amp;'T03-1'!G2&amp;", "&amp;'T03-1'!E2&amp;") "&amp;'T03-1'!D2</f>
        <v>テスト 太郎 (male, 10) Development</v>
      </c>
    </row>
    <row r="3" spans="1:3">
      <c r="A3" s="4">
        <v>2</v>
      </c>
      <c r="B3" s="4">
        <v>8</v>
      </c>
      <c r="C3" s="5" t="str">
        <f>'T03-1'!B3 &amp;" "&amp;'T03-1'!C3&amp;" ("&amp;'T03-1'!G3&amp;", "&amp;'T03-1'!E3&amp;") "&amp;'T03-1'!D3</f>
        <v>テスト 花子 (female, 20) Management</v>
      </c>
    </row>
    <row r="4" spans="1:3">
      <c r="A4" s="4">
        <v>3</v>
      </c>
      <c r="B4" s="4">
        <v>8</v>
      </c>
      <c r="C4" s="5" t="str">
        <f>'T03-1'!B4 &amp;" "&amp;'T03-1'!C4&amp;" ("&amp;'T03-1'!G4&amp;", "&amp;'T03-1'!E4&amp;") "&amp;'T03-1'!D4</f>
        <v>Test Taro (male, 30) Marketing</v>
      </c>
    </row>
    <row r="5" spans="1:3">
      <c r="A5" s="4">
        <v>4</v>
      </c>
      <c r="B5" s="4">
        <v>8</v>
      </c>
      <c r="C5" s="5" t="str">
        <f>'T03-1'!B5 &amp;" "&amp;'T03-1'!C5&amp;" ("&amp;'T03-1'!G5&amp;", "&amp;'T03-1'!E5&amp;") "&amp;'T03-1'!D5</f>
        <v>Test Hanako (female, 40) Office</v>
      </c>
    </row>
    <row r="6" spans="1:3">
      <c r="A6" s="4">
        <v>5</v>
      </c>
      <c r="B6" s="4">
        <v>8</v>
      </c>
      <c r="C6" s="5" t="str">
        <f>'T03-1'!B6 &amp;" "&amp;'T03-1'!C6&amp;" ("&amp;'T03-1'!G6&amp;", "&amp;'T03-1'!E6&amp;") "&amp;'T03-1'!D6</f>
        <v>John Smith (male, 50) Project Management</v>
      </c>
    </row>
    <row r="7" spans="1:3">
      <c r="A7" s="2" t="s">
        <v>25</v>
      </c>
      <c r="B7" s="4">
        <v>8</v>
      </c>
      <c r="C7" s="5" t="str">
        <f>'T03-1'!B7 &amp;" "&amp;'T03-1'!C7&amp;" ("&amp;'T03-1'!G7&amp;", "&amp;'T03-1'!E7&amp;") "&amp;'T03-1'!D7</f>
        <v>Jane Doe (female, 60) Sales</v>
      </c>
    </row>
    <row r="8" spans="1:3">
      <c r="A8" s="4">
        <v>7</v>
      </c>
      <c r="B8" s="4">
        <v>8</v>
      </c>
      <c r="C8" s="5" t="str">
        <f>'T03-1'!B8 &amp;" "&amp;'T03-1'!C8&amp;" ("&amp;'T03-1'!G8&amp;", "&amp;'T03-1'!E8&amp;") "&amp;'T03-1'!D8</f>
        <v>James Johnson (male, 70) Support</v>
      </c>
    </row>
    <row r="9" spans="1:3">
      <c r="A9" s="4">
        <v>8</v>
      </c>
      <c r="B9" s="4">
        <v>8</v>
      </c>
      <c r="C9" s="5" t="str">
        <f>'T03-1'!B9 &amp;" "&amp;'T03-1'!C9&amp;" ("&amp;'T03-1'!G9&amp;", "&amp;'T03-1'!E9&amp;") "&amp;'T03-1'!D9</f>
        <v>Mary Smith (female, 80) Testing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5613-C7CE-4EF7-8254-4F58C2625B80}">
  <dimension ref="A1:D2"/>
  <sheetViews>
    <sheetView tabSelected="1" workbookViewId="0"/>
  </sheetViews>
  <sheetFormatPr defaultRowHeight="18.75"/>
  <cols>
    <col min="2" max="2" width="17.5" bestFit="1" customWidth="1"/>
    <col min="3" max="3" width="12.75" bestFit="1" customWidth="1"/>
    <col min="4" max="4" width="16.75" bestFit="1" customWidth="1"/>
  </cols>
  <sheetData>
    <row r="1" spans="1:4">
      <c r="A1" s="1" t="s">
        <v>0</v>
      </c>
      <c r="B1" s="1" t="s">
        <v>67</v>
      </c>
      <c r="C1" s="1" t="s">
        <v>62</v>
      </c>
      <c r="D1" s="1" t="s">
        <v>41</v>
      </c>
    </row>
    <row r="2" spans="1:4">
      <c r="A2" s="2" t="s">
        <v>1</v>
      </c>
      <c r="B2" s="2" t="s">
        <v>68</v>
      </c>
      <c r="C2" s="2" t="s">
        <v>66</v>
      </c>
      <c r="D2" s="4" t="s">
        <v>58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IamageVal_base</vt:lpstr>
      <vt:lpstr>T01</vt:lpstr>
      <vt:lpstr>T02</vt:lpstr>
      <vt:lpstr>T03-1</vt:lpstr>
      <vt:lpstr>T03-2</vt:lpstr>
      <vt:lpstr>T03-3</vt:lpstr>
      <vt:lpstr>T03-4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廣島 史也</dc:creator>
  <cp:lastModifiedBy>廣島 史也</cp:lastModifiedBy>
  <cp:lastPrinted>2025-07-30T04:59:04Z</cp:lastPrinted>
  <dcterms:created xsi:type="dcterms:W3CDTF">2015-06-05T18:19:34Z</dcterms:created>
  <dcterms:modified xsi:type="dcterms:W3CDTF">2025-07-30T08:01:13Z</dcterms:modified>
</cp:coreProperties>
</file>