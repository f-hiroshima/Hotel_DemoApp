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-hiroshima\Documents\Practice\HotelTrainingTest\HotelTrainingTest\Data\"/>
    </mc:Choice>
  </mc:AlternateContent>
  <xr:revisionPtr revIDLastSave="0" documentId="13_ncr:1_{147F9D84-AEAD-4A08-85DD-F92C04E49F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Sheet1!$A$1:$Q$1</definedName>
    <definedName name="_xlnm._FilterDatabase" localSheetId="1" hidden="1">Sheet2!$A$1:$R$6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2" l="1"/>
  <c r="P6" i="2"/>
  <c r="O6" i="2"/>
  <c r="N6" i="2"/>
  <c r="Q5" i="2"/>
  <c r="P5" i="2"/>
  <c r="O5" i="2"/>
  <c r="N5" i="2"/>
  <c r="Q4" i="2"/>
  <c r="P4" i="2"/>
  <c r="O4" i="2"/>
  <c r="N4" i="2"/>
  <c r="Q3" i="2"/>
  <c r="P3" i="2"/>
  <c r="O3" i="2"/>
  <c r="N3" i="2"/>
  <c r="Q2" i="2"/>
  <c r="P2" i="2"/>
  <c r="O2" i="2"/>
  <c r="N2" i="2"/>
  <c r="Q6" i="1"/>
  <c r="P6" i="1"/>
  <c r="O6" i="1"/>
  <c r="N6" i="1"/>
  <c r="Q5" i="1"/>
  <c r="P5" i="1"/>
  <c r="O5" i="1"/>
  <c r="N5" i="1"/>
  <c r="Q4" i="1"/>
  <c r="P4" i="1"/>
  <c r="O4" i="1"/>
  <c r="N4" i="1"/>
  <c r="Q3" i="1"/>
  <c r="P3" i="1"/>
  <c r="O3" i="1"/>
  <c r="N3" i="1"/>
  <c r="Q2" i="1"/>
  <c r="P2" i="1"/>
  <c r="O2" i="1"/>
  <c r="N2" i="1"/>
</calcChain>
</file>

<file path=xl/sharedStrings.xml><?xml version="1.0" encoding="utf-8"?>
<sst xmlns="http://schemas.openxmlformats.org/spreadsheetml/2006/main" count="153" uniqueCount="52">
  <si>
    <t>id</t>
    <phoneticPr fontId="2"/>
  </si>
  <si>
    <t>email</t>
    <phoneticPr fontId="2"/>
  </si>
  <si>
    <t>username</t>
    <phoneticPr fontId="2"/>
  </si>
  <si>
    <t>tel</t>
    <phoneticPr fontId="2"/>
  </si>
  <si>
    <t>1</t>
    <phoneticPr fontId="2"/>
  </si>
  <si>
    <t>planName</t>
    <phoneticPr fontId="2"/>
  </si>
  <si>
    <t>date</t>
    <phoneticPr fontId="2"/>
  </si>
  <si>
    <t>term</t>
    <phoneticPr fontId="2"/>
  </si>
  <si>
    <t>head_count</t>
    <phoneticPr fontId="2"/>
  </si>
  <si>
    <t>breakfast</t>
    <phoneticPr fontId="2"/>
  </si>
  <si>
    <t>early-check-in</t>
    <phoneticPr fontId="2"/>
  </si>
  <si>
    <t>sightseeing</t>
    <phoneticPr fontId="2"/>
  </si>
  <si>
    <t>contact</t>
    <phoneticPr fontId="2"/>
  </si>
  <si>
    <t>total_bill</t>
    <phoneticPr fontId="2"/>
  </si>
  <si>
    <t>checkyear</t>
    <phoneticPr fontId="2"/>
  </si>
  <si>
    <t>checkmonth</t>
    <phoneticPr fontId="2"/>
  </si>
  <si>
    <t>checkday</t>
    <phoneticPr fontId="2"/>
  </si>
  <si>
    <t>お得な特典付きプラン</t>
    <rPh sb="1" eb="2">
      <t>トク</t>
    </rPh>
    <rPh sb="3" eb="5">
      <t>トクテン</t>
    </rPh>
    <rPh sb="5" eb="6">
      <t>ツ</t>
    </rPh>
    <phoneticPr fontId="2"/>
  </si>
  <si>
    <t>廣島史也</t>
    <rPh sb="0" eb="4">
      <t>ヒロシマフミヤ</t>
    </rPh>
    <phoneticPr fontId="2"/>
  </si>
  <si>
    <t>10,000円</t>
    <rPh sb="6" eb="7">
      <t>エン</t>
    </rPh>
    <phoneticPr fontId="2"/>
  </si>
  <si>
    <t>checkterm</t>
    <phoneticPr fontId="2"/>
  </si>
  <si>
    <t>ON</t>
  </si>
  <si>
    <t>希望しない</t>
  </si>
  <si>
    <t>素泊まり</t>
    <rPh sb="0" eb="2">
      <t>スド</t>
    </rPh>
    <phoneticPr fontId="2"/>
  </si>
  <si>
    <t>2</t>
    <phoneticPr fontId="2"/>
  </si>
  <si>
    <t>OFF</t>
  </si>
  <si>
    <t>佐藤太郎</t>
    <rPh sb="0" eb="2">
      <t>サトウ</t>
    </rPh>
    <rPh sb="2" eb="4">
      <t>タロウ</t>
    </rPh>
    <phoneticPr fontId="2"/>
  </si>
  <si>
    <t>メールでのご連絡</t>
  </si>
  <si>
    <t>taro@example.com</t>
    <phoneticPr fontId="2"/>
  </si>
  <si>
    <t>3</t>
    <phoneticPr fontId="2"/>
  </si>
  <si>
    <t>出張ビジネスプラン</t>
    <phoneticPr fontId="2"/>
  </si>
  <si>
    <t>5</t>
    <phoneticPr fontId="2"/>
  </si>
  <si>
    <t>山田花子</t>
    <rPh sb="0" eb="2">
      <t>ヤマダ</t>
    </rPh>
    <rPh sb="2" eb="4">
      <t>ハナコ</t>
    </rPh>
    <phoneticPr fontId="2"/>
  </si>
  <si>
    <t>電話でのご連絡</t>
  </si>
  <si>
    <t>01234567890</t>
    <phoneticPr fontId="2"/>
  </si>
  <si>
    <t>43,500円</t>
    <phoneticPr fontId="2"/>
  </si>
  <si>
    <t>4</t>
    <phoneticPr fontId="2"/>
  </si>
  <si>
    <t>エステ・マッサージプラン</t>
  </si>
  <si>
    <t>ななし</t>
    <phoneticPr fontId="2"/>
  </si>
  <si>
    <t>76,500円</t>
    <phoneticPr fontId="2"/>
  </si>
  <si>
    <t>貸し切り露天風呂プラン</t>
    <phoneticPr fontId="2"/>
  </si>
  <si>
    <t>ごんぎつね</t>
    <phoneticPr fontId="2"/>
  </si>
  <si>
    <t>fox-kon@example.com</t>
    <phoneticPr fontId="2"/>
  </si>
  <si>
    <t>97,000円</t>
    <phoneticPr fontId="2"/>
  </si>
  <si>
    <t>22,000円</t>
    <rPh sb="6" eb="7">
      <t>エン</t>
    </rPh>
    <phoneticPr fontId="2"/>
  </si>
  <si>
    <t>2</t>
    <phoneticPr fontId="1"/>
  </si>
  <si>
    <t>メール</t>
    <phoneticPr fontId="1"/>
  </si>
  <si>
    <t>電話</t>
    <phoneticPr fontId="1"/>
  </si>
  <si>
    <t>chcekcontact</t>
    <phoneticPr fontId="2"/>
  </si>
  <si>
    <t>2025/08/18</t>
    <phoneticPr fontId="2"/>
  </si>
  <si>
    <t>2025/08/23</t>
    <phoneticPr fontId="2"/>
  </si>
  <si>
    <t>2025/08/22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</si>
</sst>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workbookViewId="0"/>
  </sheetViews>
  <sheetFormatPr defaultRowHeight="18.75"/>
  <cols>
    <col min="1" max="1" width="5.125" bestFit="1" customWidth="1"/>
    <col min="2" max="2" width="25.5" bestFit="1" customWidth="1"/>
    <col min="3" max="3" width="11.375" bestFit="1" customWidth="1"/>
    <col min="4" max="4" width="7.375" bestFit="1" customWidth="1"/>
    <col min="5" max="5" width="13.75" bestFit="1" customWidth="1"/>
    <col min="6" max="6" width="11.5" bestFit="1" customWidth="1"/>
    <col min="7" max="7" width="16.375" bestFit="1" customWidth="1"/>
    <col min="8" max="8" width="13.5" bestFit="1" customWidth="1"/>
    <col min="9" max="9" width="12" bestFit="1" customWidth="1"/>
    <col min="10" max="10" width="17.25" bestFit="1" customWidth="1"/>
    <col min="11" max="11" width="22" bestFit="1" customWidth="1"/>
    <col min="12" max="12" width="12.75" bestFit="1" customWidth="1"/>
    <col min="14" max="14" width="10.5" bestFit="1" customWidth="1"/>
    <col min="15" max="15" width="12.125" bestFit="1" customWidth="1"/>
  </cols>
  <sheetData>
    <row r="1" spans="1:17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2</v>
      </c>
      <c r="J1" s="1" t="s">
        <v>12</v>
      </c>
      <c r="K1" s="1" t="s">
        <v>1</v>
      </c>
      <c r="L1" s="1" t="s">
        <v>3</v>
      </c>
      <c r="M1" s="1" t="s">
        <v>13</v>
      </c>
      <c r="N1" s="1" t="s">
        <v>20</v>
      </c>
      <c r="O1" s="1" t="s">
        <v>14</v>
      </c>
      <c r="P1" s="1" t="s">
        <v>15</v>
      </c>
      <c r="Q1" s="1" t="s">
        <v>16</v>
      </c>
    </row>
    <row r="2" spans="1:17">
      <c r="A2" s="2" t="s">
        <v>4</v>
      </c>
      <c r="B2" s="2" t="s">
        <v>17</v>
      </c>
      <c r="C2" s="2" t="s">
        <v>49</v>
      </c>
      <c r="D2" s="2" t="s">
        <v>4</v>
      </c>
      <c r="E2" s="2" t="s">
        <v>4</v>
      </c>
      <c r="F2" s="2" t="s">
        <v>21</v>
      </c>
      <c r="G2" s="2" t="s">
        <v>21</v>
      </c>
      <c r="H2" s="2" t="s">
        <v>21</v>
      </c>
      <c r="I2" s="2" t="s">
        <v>18</v>
      </c>
      <c r="J2" s="2" t="s">
        <v>22</v>
      </c>
      <c r="K2" s="2"/>
      <c r="L2" s="2"/>
      <c r="M2" s="2" t="s">
        <v>19</v>
      </c>
      <c r="N2" s="3" t="str">
        <f>$D2&amp;"泊"</f>
        <v>1泊</v>
      </c>
      <c r="O2" s="2">
        <f>YEAR($C2)</f>
        <v>2025</v>
      </c>
      <c r="P2" s="2">
        <f>MONTH($C2)</f>
        <v>8</v>
      </c>
      <c r="Q2" s="2">
        <f>DAY($C2)</f>
        <v>18</v>
      </c>
    </row>
    <row r="3" spans="1:17">
      <c r="A3" s="2" t="s">
        <v>45</v>
      </c>
      <c r="B3" s="2" t="s">
        <v>23</v>
      </c>
      <c r="C3" s="2" t="s">
        <v>49</v>
      </c>
      <c r="D3" s="2" t="s">
        <v>24</v>
      </c>
      <c r="E3" s="2" t="s">
        <v>24</v>
      </c>
      <c r="F3" s="2" t="s">
        <v>25</v>
      </c>
      <c r="G3" s="2" t="s">
        <v>25</v>
      </c>
      <c r="H3" s="2" t="s">
        <v>25</v>
      </c>
      <c r="I3" s="2" t="s">
        <v>26</v>
      </c>
      <c r="J3" s="2" t="s">
        <v>27</v>
      </c>
      <c r="K3" s="3" t="s">
        <v>28</v>
      </c>
      <c r="L3" s="2"/>
      <c r="M3" s="2" t="s">
        <v>44</v>
      </c>
      <c r="N3" s="3" t="str">
        <f t="shared" ref="N3:N6" si="0">$D3&amp;"泊"</f>
        <v>2泊</v>
      </c>
      <c r="O3" s="2">
        <f t="shared" ref="O3:O6" si="1">YEAR($C3)</f>
        <v>2025</v>
      </c>
      <c r="P3" s="2">
        <f t="shared" ref="P3:P6" si="2">MONTH($C3)</f>
        <v>8</v>
      </c>
      <c r="Q3" s="2">
        <f t="shared" ref="Q3:Q6" si="3">DAY($C3)</f>
        <v>18</v>
      </c>
    </row>
    <row r="4" spans="1:17">
      <c r="A4" s="2" t="s">
        <v>29</v>
      </c>
      <c r="B4" s="2" t="s">
        <v>30</v>
      </c>
      <c r="C4" s="2" t="s">
        <v>49</v>
      </c>
      <c r="D4" s="2" t="s">
        <v>31</v>
      </c>
      <c r="E4" s="2" t="s">
        <v>4</v>
      </c>
      <c r="F4" s="2" t="s">
        <v>21</v>
      </c>
      <c r="G4" s="2" t="s">
        <v>21</v>
      </c>
      <c r="H4" s="2" t="s">
        <v>25</v>
      </c>
      <c r="I4" s="2" t="s">
        <v>32</v>
      </c>
      <c r="J4" s="2" t="s">
        <v>33</v>
      </c>
      <c r="K4" s="2"/>
      <c r="L4" s="2" t="s">
        <v>34</v>
      </c>
      <c r="M4" s="2" t="s">
        <v>35</v>
      </c>
      <c r="N4" s="3" t="str">
        <f t="shared" si="0"/>
        <v>5泊</v>
      </c>
      <c r="O4" s="2">
        <f t="shared" si="1"/>
        <v>2025</v>
      </c>
      <c r="P4" s="2">
        <f t="shared" si="2"/>
        <v>8</v>
      </c>
      <c r="Q4" s="2">
        <f t="shared" si="3"/>
        <v>18</v>
      </c>
    </row>
    <row r="5" spans="1:17">
      <c r="A5" s="2" t="s">
        <v>36</v>
      </c>
      <c r="B5" s="2" t="s">
        <v>37</v>
      </c>
      <c r="C5" s="2" t="s">
        <v>50</v>
      </c>
      <c r="D5" s="2" t="s">
        <v>24</v>
      </c>
      <c r="E5" s="2" t="s">
        <v>29</v>
      </c>
      <c r="F5" s="2" t="s">
        <v>21</v>
      </c>
      <c r="G5" s="2" t="s">
        <v>25</v>
      </c>
      <c r="H5" s="2" t="s">
        <v>21</v>
      </c>
      <c r="I5" s="2" t="s">
        <v>38</v>
      </c>
      <c r="J5" s="2" t="s">
        <v>22</v>
      </c>
      <c r="K5" s="2"/>
      <c r="L5" s="2"/>
      <c r="M5" s="2" t="s">
        <v>39</v>
      </c>
      <c r="N5" s="3" t="str">
        <f t="shared" si="0"/>
        <v>2泊</v>
      </c>
      <c r="O5" s="2">
        <f t="shared" si="1"/>
        <v>2025</v>
      </c>
      <c r="P5" s="2">
        <f t="shared" si="2"/>
        <v>8</v>
      </c>
      <c r="Q5" s="2">
        <f t="shared" si="3"/>
        <v>23</v>
      </c>
    </row>
    <row r="6" spans="1:17">
      <c r="A6" s="2" t="s">
        <v>31</v>
      </c>
      <c r="B6" s="2" t="s">
        <v>40</v>
      </c>
      <c r="C6" s="2" t="s">
        <v>51</v>
      </c>
      <c r="D6" s="2" t="s">
        <v>24</v>
      </c>
      <c r="E6" s="2" t="s">
        <v>36</v>
      </c>
      <c r="F6" s="2" t="s">
        <v>21</v>
      </c>
      <c r="G6" s="2" t="s">
        <v>21</v>
      </c>
      <c r="H6" s="2" t="s">
        <v>21</v>
      </c>
      <c r="I6" s="2" t="s">
        <v>41</v>
      </c>
      <c r="J6" s="2" t="s">
        <v>27</v>
      </c>
      <c r="K6" s="3" t="s">
        <v>42</v>
      </c>
      <c r="L6" s="2"/>
      <c r="M6" s="2" t="s">
        <v>43</v>
      </c>
      <c r="N6" s="3" t="str">
        <f t="shared" si="0"/>
        <v>2泊</v>
      </c>
      <c r="O6" s="2">
        <f t="shared" si="1"/>
        <v>2025</v>
      </c>
      <c r="P6" s="2">
        <f t="shared" si="2"/>
        <v>8</v>
      </c>
      <c r="Q6" s="2">
        <f t="shared" si="3"/>
        <v>22</v>
      </c>
    </row>
  </sheetData>
  <autoFilter ref="A1:Q1" xr:uid="{00000000-0001-0000-0000-000000000000}"/>
  <phoneticPr fontId="1"/>
  <dataValidations count="2">
    <dataValidation type="list" allowBlank="1" showInputMessage="1" showErrorMessage="1" sqref="F2:H6" xr:uid="{3D7CEE65-95DD-405E-BDF9-0ADB995CC53D}">
      <formula1>"ON,OFF"</formula1>
    </dataValidation>
    <dataValidation type="list" allowBlank="1" showInputMessage="1" showErrorMessage="1" sqref="J2:J6" xr:uid="{E548689B-9DC8-41E1-9BAA-1160E9FF9078}">
      <formula1>"希望しない,メールでのご連絡,電話でのご連絡"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99A1-972E-4579-A58A-D523EB5F2B7B}">
  <dimension ref="A1:R6"/>
  <sheetViews>
    <sheetView tabSelected="1" workbookViewId="0"/>
  </sheetViews>
  <sheetFormatPr defaultRowHeight="18.75"/>
  <cols>
    <col min="1" max="1" width="5.125" bestFit="1" customWidth="1"/>
    <col min="2" max="2" width="25.5" bestFit="1" customWidth="1"/>
    <col min="3" max="3" width="11.375" bestFit="1" customWidth="1"/>
    <col min="4" max="4" width="5.375" bestFit="1" customWidth="1"/>
    <col min="5" max="5" width="11.75" bestFit="1" customWidth="1"/>
    <col min="6" max="6" width="9.5" bestFit="1" customWidth="1"/>
    <col min="7" max="7" width="14.375" bestFit="1" customWidth="1"/>
    <col min="8" max="8" width="11.5" bestFit="1" customWidth="1"/>
    <col min="9" max="9" width="10.625" bestFit="1" customWidth="1"/>
    <col min="10" max="10" width="17.25" bestFit="1" customWidth="1"/>
    <col min="11" max="11" width="8.125" bestFit="1" customWidth="1"/>
    <col min="12" max="12" width="5.625" bestFit="1" customWidth="1"/>
    <col min="14" max="14" width="10.5" bestFit="1" customWidth="1"/>
    <col min="15" max="15" width="10.125" bestFit="1" customWidth="1"/>
    <col min="16" max="16" width="12.375" bestFit="1" customWidth="1"/>
    <col min="17" max="17" width="9.625" bestFit="1" customWidth="1"/>
    <col min="18" max="18" width="13.375" bestFit="1" customWidth="1"/>
  </cols>
  <sheetData>
    <row r="1" spans="1:18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2</v>
      </c>
      <c r="J1" s="1" t="s">
        <v>12</v>
      </c>
      <c r="K1" s="1" t="s">
        <v>1</v>
      </c>
      <c r="L1" s="1" t="s">
        <v>3</v>
      </c>
      <c r="M1" s="1" t="s">
        <v>13</v>
      </c>
      <c r="N1" s="1" t="s">
        <v>20</v>
      </c>
      <c r="O1" s="1" t="s">
        <v>14</v>
      </c>
      <c r="P1" s="1" t="s">
        <v>15</v>
      </c>
      <c r="Q1" s="1" t="s">
        <v>16</v>
      </c>
      <c r="R1" s="1" t="s">
        <v>48</v>
      </c>
    </row>
    <row r="2" spans="1:18">
      <c r="A2" s="2" t="s">
        <v>4</v>
      </c>
      <c r="B2" s="2" t="s">
        <v>17</v>
      </c>
      <c r="C2" s="2" t="s">
        <v>49</v>
      </c>
      <c r="D2" s="2" t="s">
        <v>4</v>
      </c>
      <c r="E2" s="2" t="s">
        <v>4</v>
      </c>
      <c r="F2" s="2" t="s">
        <v>21</v>
      </c>
      <c r="G2" s="2" t="s">
        <v>21</v>
      </c>
      <c r="H2" s="2" t="s">
        <v>21</v>
      </c>
      <c r="I2" s="2" t="s">
        <v>18</v>
      </c>
      <c r="J2" s="2" t="s">
        <v>22</v>
      </c>
      <c r="K2" s="2"/>
      <c r="L2" s="2"/>
      <c r="M2" s="2" t="s">
        <v>19</v>
      </c>
      <c r="N2" s="3" t="str">
        <f>$D2&amp;"泊"</f>
        <v>1泊</v>
      </c>
      <c r="O2" s="2">
        <f>YEAR($C2)</f>
        <v>2025</v>
      </c>
      <c r="P2" s="2">
        <f>MONTH($C2)</f>
        <v>8</v>
      </c>
      <c r="Q2" s="2">
        <f>DAY($C2)</f>
        <v>18</v>
      </c>
      <c r="R2" s="2" t="s">
        <v>22</v>
      </c>
    </row>
    <row r="3" spans="1:18">
      <c r="A3" s="2" t="s">
        <v>45</v>
      </c>
      <c r="B3" s="2" t="s">
        <v>23</v>
      </c>
      <c r="C3" s="2" t="s">
        <v>49</v>
      </c>
      <c r="D3" s="2" t="s">
        <v>24</v>
      </c>
      <c r="E3" s="2" t="s">
        <v>24</v>
      </c>
      <c r="F3" s="2" t="s">
        <v>25</v>
      </c>
      <c r="G3" s="2" t="s">
        <v>25</v>
      </c>
      <c r="H3" s="2" t="s">
        <v>25</v>
      </c>
      <c r="I3" s="2" t="s">
        <v>26</v>
      </c>
      <c r="J3" s="2" t="s">
        <v>27</v>
      </c>
      <c r="K3" s="3"/>
      <c r="L3" s="2"/>
      <c r="M3" s="2" t="s">
        <v>44</v>
      </c>
      <c r="N3" s="3" t="str">
        <f t="shared" ref="N3:N6" si="0">$D3&amp;"泊"</f>
        <v>2泊</v>
      </c>
      <c r="O3" s="2">
        <f t="shared" ref="O3:O6" si="1">YEAR($C3)</f>
        <v>2025</v>
      </c>
      <c r="P3" s="2">
        <f t="shared" ref="P3:P6" si="2">MONTH($C3)</f>
        <v>8</v>
      </c>
      <c r="Q3" s="2">
        <f t="shared" ref="Q3:Q6" si="3">DAY($C3)</f>
        <v>18</v>
      </c>
      <c r="R3" s="2" t="s">
        <v>46</v>
      </c>
    </row>
    <row r="4" spans="1:18">
      <c r="A4" s="2" t="s">
        <v>29</v>
      </c>
      <c r="B4" s="2" t="s">
        <v>30</v>
      </c>
      <c r="C4" s="2" t="s">
        <v>49</v>
      </c>
      <c r="D4" s="2" t="s">
        <v>31</v>
      </c>
      <c r="E4" s="2" t="s">
        <v>4</v>
      </c>
      <c r="F4" s="2" t="s">
        <v>21</v>
      </c>
      <c r="G4" s="2" t="s">
        <v>21</v>
      </c>
      <c r="H4" s="2" t="s">
        <v>25</v>
      </c>
      <c r="I4" s="2" t="s">
        <v>32</v>
      </c>
      <c r="J4" s="2" t="s">
        <v>33</v>
      </c>
      <c r="K4" s="2"/>
      <c r="L4" s="2"/>
      <c r="M4" s="2" t="s">
        <v>35</v>
      </c>
      <c r="N4" s="3" t="str">
        <f t="shared" si="0"/>
        <v>5泊</v>
      </c>
      <c r="O4" s="2">
        <f t="shared" si="1"/>
        <v>2025</v>
      </c>
      <c r="P4" s="2">
        <f t="shared" si="2"/>
        <v>8</v>
      </c>
      <c r="Q4" s="2">
        <f t="shared" si="3"/>
        <v>18</v>
      </c>
      <c r="R4" s="2" t="s">
        <v>47</v>
      </c>
    </row>
    <row r="5" spans="1:18">
      <c r="A5" s="2" t="s">
        <v>36</v>
      </c>
      <c r="B5" s="2" t="s">
        <v>37</v>
      </c>
      <c r="C5" s="2" t="s">
        <v>50</v>
      </c>
      <c r="D5" s="2" t="s">
        <v>24</v>
      </c>
      <c r="E5" s="2" t="s">
        <v>29</v>
      </c>
      <c r="F5" s="2" t="s">
        <v>21</v>
      </c>
      <c r="G5" s="2" t="s">
        <v>25</v>
      </c>
      <c r="H5" s="2" t="s">
        <v>21</v>
      </c>
      <c r="I5" s="2" t="s">
        <v>38</v>
      </c>
      <c r="J5" s="2" t="s">
        <v>22</v>
      </c>
      <c r="K5" s="2"/>
      <c r="L5" s="2"/>
      <c r="M5" s="2" t="s">
        <v>39</v>
      </c>
      <c r="N5" s="3" t="str">
        <f t="shared" si="0"/>
        <v>2泊</v>
      </c>
      <c r="O5" s="2">
        <f t="shared" si="1"/>
        <v>2025</v>
      </c>
      <c r="P5" s="2">
        <f t="shared" si="2"/>
        <v>8</v>
      </c>
      <c r="Q5" s="2">
        <f t="shared" si="3"/>
        <v>23</v>
      </c>
      <c r="R5" s="2" t="s">
        <v>22</v>
      </c>
    </row>
    <row r="6" spans="1:18">
      <c r="A6" s="2" t="s">
        <v>31</v>
      </c>
      <c r="B6" s="2" t="s">
        <v>40</v>
      </c>
      <c r="C6" s="2" t="s">
        <v>51</v>
      </c>
      <c r="D6" s="2" t="s">
        <v>24</v>
      </c>
      <c r="E6" s="2" t="s">
        <v>36</v>
      </c>
      <c r="F6" s="2" t="s">
        <v>21</v>
      </c>
      <c r="G6" s="2" t="s">
        <v>21</v>
      </c>
      <c r="H6" s="2" t="s">
        <v>21</v>
      </c>
      <c r="I6" s="2" t="s">
        <v>41</v>
      </c>
      <c r="J6" s="2" t="s">
        <v>27</v>
      </c>
      <c r="K6" s="3"/>
      <c r="L6" s="2"/>
      <c r="M6" s="2" t="s">
        <v>43</v>
      </c>
      <c r="N6" s="3" t="str">
        <f t="shared" si="0"/>
        <v>2泊</v>
      </c>
      <c r="O6" s="2">
        <f t="shared" si="1"/>
        <v>2025</v>
      </c>
      <c r="P6" s="2">
        <f t="shared" si="2"/>
        <v>8</v>
      </c>
      <c r="Q6" s="2">
        <f t="shared" si="3"/>
        <v>22</v>
      </c>
      <c r="R6" s="2" t="s">
        <v>46</v>
      </c>
    </row>
  </sheetData>
  <autoFilter ref="A1:R6" xr:uid="{9B6099A1-972E-4579-A58A-D523EB5F2B7B}"/>
  <phoneticPr fontId="1"/>
  <dataValidations count="2">
    <dataValidation type="list" allowBlank="1" showInputMessage="1" showErrorMessage="1" sqref="J2:J6" xr:uid="{3A0E2100-2854-4121-8B53-DD5DA097F895}">
      <formula1>"希望しない,メールでのご連絡,電話でのご連絡"</formula1>
    </dataValidation>
    <dataValidation type="list" allowBlank="1" showInputMessage="1" showErrorMessage="1" sqref="F2:H6" xr:uid="{987102D8-9735-4689-9CA8-A533CA09C8C0}">
      <formula1>"ON,OFF"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廣島 史也</dc:creator>
  <cp:lastModifiedBy>廣島 史也</cp:lastModifiedBy>
  <dcterms:created xsi:type="dcterms:W3CDTF">2015-06-05T18:19:34Z</dcterms:created>
  <dcterms:modified xsi:type="dcterms:W3CDTF">2025-07-29T04:53:20Z</dcterms:modified>
</cp:coreProperties>
</file>