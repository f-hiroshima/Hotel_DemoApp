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B5F4D913-A4F0-493E-82F1-99B29D13E8F3}" xr6:coauthVersionLast="47" xr6:coauthVersionMax="47" xr10:uidLastSave="{00000000-0000-0000-0000-000000000000}"/>
  <bookViews>
    <workbookView xWindow="-120" yWindow="-120" windowWidth="29040" windowHeight="15720" tabRatio="708" firstSheet="16" activeTab="25" xr2:uid="{00000000-000D-0000-FFFF-FFFF00000000}"/>
  </bookViews>
  <sheets>
    <sheet name="1-1" sheetId="1" r:id="rId1"/>
    <sheet name="1-2" sheetId="3" r:id="rId2"/>
    <sheet name="1-3-1" sheetId="4" r:id="rId3"/>
    <sheet name="1-3-2" sheetId="5" r:id="rId4"/>
    <sheet name="2-1-1" sheetId="6" r:id="rId5"/>
    <sheet name="2-2" sheetId="8" r:id="rId6"/>
    <sheet name="2-1-2" sheetId="7" r:id="rId7"/>
    <sheet name="2-3-2" sheetId="10" r:id="rId8"/>
    <sheet name="2-3-1" sheetId="9" r:id="rId9"/>
    <sheet name="2-3-3" sheetId="11" r:id="rId10"/>
    <sheet name="2-4-1" sheetId="12" r:id="rId11"/>
    <sheet name="2-4-2" sheetId="13" r:id="rId12"/>
    <sheet name="2-5-1" sheetId="14" r:id="rId13"/>
    <sheet name="2-5-2" sheetId="15" r:id="rId14"/>
    <sheet name="2-5-3" sheetId="16" r:id="rId15"/>
    <sheet name="2-6" sheetId="17" r:id="rId16"/>
    <sheet name="2-7" sheetId="20" r:id="rId17"/>
    <sheet name="3-1" sheetId="21" r:id="rId18"/>
    <sheet name="3-2-1" sheetId="22" r:id="rId19"/>
    <sheet name="3-2-2" sheetId="23" r:id="rId20"/>
    <sheet name="3-3-1" sheetId="25" r:id="rId21"/>
    <sheet name="3-3-2" sheetId="24" r:id="rId22"/>
    <sheet name="3-4" sheetId="26" r:id="rId23"/>
    <sheet name="3-5" sheetId="27" r:id="rId24"/>
    <sheet name="3-6" sheetId="28" r:id="rId25"/>
    <sheet name="3-7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9" l="1"/>
  <c r="E51" i="29"/>
  <c r="E52" i="29"/>
  <c r="E53" i="29"/>
  <c r="E54" i="29"/>
  <c r="E55" i="29"/>
  <c r="E56" i="29"/>
  <c r="R56" i="29" s="1"/>
  <c r="E57" i="29"/>
  <c r="Q57" i="29" s="1"/>
  <c r="E50" i="29"/>
  <c r="Q50" i="29" s="1"/>
  <c r="E65" i="29"/>
  <c r="E64" i="29"/>
  <c r="R64" i="29" s="1"/>
  <c r="E63" i="29"/>
  <c r="E62" i="29"/>
  <c r="E61" i="29"/>
  <c r="E60" i="29"/>
  <c r="R60" i="29" s="1"/>
  <c r="E59" i="29"/>
  <c r="Q59" i="29" s="1"/>
  <c r="E58" i="29"/>
  <c r="Q58" i="29" s="1"/>
  <c r="E35" i="29"/>
  <c r="E36" i="29"/>
  <c r="R36" i="29" s="1"/>
  <c r="E37" i="29"/>
  <c r="E38" i="29"/>
  <c r="E39" i="29"/>
  <c r="Q39" i="29" s="1"/>
  <c r="E40" i="29"/>
  <c r="R40" i="29" s="1"/>
  <c r="E41" i="29"/>
  <c r="Q41" i="29" s="1"/>
  <c r="E42" i="29"/>
  <c r="Q42" i="29" s="1"/>
  <c r="E43" i="29"/>
  <c r="E44" i="29"/>
  <c r="R44" i="29" s="1"/>
  <c r="E45" i="29"/>
  <c r="E46" i="29"/>
  <c r="E47" i="29"/>
  <c r="Q47" i="29" s="1"/>
  <c r="E48" i="29"/>
  <c r="R48" i="29" s="1"/>
  <c r="E49" i="29"/>
  <c r="Q49" i="29" s="1"/>
  <c r="E34" i="29"/>
  <c r="Q34" i="29" s="1"/>
  <c r="E27" i="29"/>
  <c r="E28" i="29"/>
  <c r="R28" i="29" s="1"/>
  <c r="E29" i="29"/>
  <c r="E30" i="29"/>
  <c r="E31" i="29"/>
  <c r="E32" i="29"/>
  <c r="R32" i="29" s="1"/>
  <c r="E33" i="29"/>
  <c r="Q33" i="29" s="1"/>
  <c r="E26" i="29"/>
  <c r="Q26" i="29" s="1"/>
  <c r="E3" i="29"/>
  <c r="R3" i="29" s="1"/>
  <c r="E4" i="29"/>
  <c r="R4" i="29" s="1"/>
  <c r="E5" i="29"/>
  <c r="E6" i="29"/>
  <c r="E7" i="29"/>
  <c r="R7" i="29" s="1"/>
  <c r="E8" i="29"/>
  <c r="R8" i="29" s="1"/>
  <c r="E9" i="29"/>
  <c r="R9" i="29" s="1"/>
  <c r="E10" i="29"/>
  <c r="R10" i="29" s="1"/>
  <c r="E11" i="29"/>
  <c r="E12" i="29"/>
  <c r="R12" i="29" s="1"/>
  <c r="E13" i="29"/>
  <c r="E14" i="29"/>
  <c r="E15" i="29"/>
  <c r="R15" i="29" s="1"/>
  <c r="E16" i="29"/>
  <c r="R16" i="29" s="1"/>
  <c r="E17" i="29"/>
  <c r="R17" i="29" s="1"/>
  <c r="E18" i="29"/>
  <c r="R18" i="29" s="1"/>
  <c r="E19" i="29"/>
  <c r="R19" i="29" s="1"/>
  <c r="E20" i="29"/>
  <c r="Q20" i="29" s="1"/>
  <c r="E21" i="29"/>
  <c r="E22" i="29"/>
  <c r="E23" i="29"/>
  <c r="Q23" i="29" s="1"/>
  <c r="E24" i="29"/>
  <c r="R24" i="29" s="1"/>
  <c r="E25" i="29"/>
  <c r="Q25" i="29" s="1"/>
  <c r="E2" i="29"/>
  <c r="Q2" i="29" s="1"/>
  <c r="D21" i="28"/>
  <c r="Q21" i="28" s="1"/>
  <c r="D20" i="28"/>
  <c r="Q20" i="28" s="1"/>
  <c r="D19" i="28"/>
  <c r="D18" i="28"/>
  <c r="D17" i="28"/>
  <c r="D16" i="28"/>
  <c r="D15" i="28"/>
  <c r="D14" i="28"/>
  <c r="D13" i="28"/>
  <c r="D12" i="28"/>
  <c r="D11" i="28"/>
  <c r="D4" i="28"/>
  <c r="D5" i="28"/>
  <c r="D6" i="28"/>
  <c r="D7" i="28"/>
  <c r="D3" i="28"/>
  <c r="C2" i="26"/>
  <c r="C11" i="26"/>
  <c r="C10" i="26"/>
  <c r="C4" i="26"/>
  <c r="C5" i="26"/>
  <c r="C6" i="26"/>
  <c r="C7" i="26"/>
  <c r="C8" i="26"/>
  <c r="C3" i="26"/>
  <c r="C3" i="24"/>
  <c r="P3" i="24" s="1"/>
  <c r="C4" i="24"/>
  <c r="P4" i="24" s="1"/>
  <c r="C5" i="24"/>
  <c r="O5" i="24" s="1"/>
  <c r="C6" i="24"/>
  <c r="P6" i="24" s="1"/>
  <c r="C7" i="24"/>
  <c r="P7" i="24" s="1"/>
  <c r="C8" i="24"/>
  <c r="P8" i="24" s="1"/>
  <c r="C9" i="24"/>
  <c r="P9" i="24" s="1"/>
  <c r="C10" i="24"/>
  <c r="P10" i="24" s="1"/>
  <c r="C11" i="24"/>
  <c r="O11" i="24" s="1"/>
  <c r="C12" i="24"/>
  <c r="O12" i="24" s="1"/>
  <c r="C13" i="24"/>
  <c r="O13" i="24" s="1"/>
  <c r="C14" i="24"/>
  <c r="P14" i="24" s="1"/>
  <c r="C15" i="24"/>
  <c r="O15" i="24" s="1"/>
  <c r="C16" i="24"/>
  <c r="P16" i="24" s="1"/>
  <c r="C17" i="24"/>
  <c r="P17" i="24" s="1"/>
  <c r="C18" i="24"/>
  <c r="P18" i="24" s="1"/>
  <c r="C19" i="24"/>
  <c r="P19" i="24" s="1"/>
  <c r="C20" i="24"/>
  <c r="P20" i="24" s="1"/>
  <c r="C2" i="24"/>
  <c r="O2" i="24" s="1"/>
  <c r="Q19" i="28"/>
  <c r="R65" i="29"/>
  <c r="Q63" i="29"/>
  <c r="Q62" i="29"/>
  <c r="Q61" i="29"/>
  <c r="Q51" i="29"/>
  <c r="R52" i="29"/>
  <c r="R53" i="29"/>
  <c r="Q54" i="29"/>
  <c r="Q55" i="29"/>
  <c r="Q35" i="29"/>
  <c r="R37" i="29"/>
  <c r="Q38" i="29"/>
  <c r="Q43" i="29"/>
  <c r="Q45" i="29"/>
  <c r="Q46" i="29"/>
  <c r="Q27" i="29"/>
  <c r="Q29" i="29"/>
  <c r="Q30" i="29"/>
  <c r="Q31" i="29"/>
  <c r="R5" i="29"/>
  <c r="Q6" i="29"/>
  <c r="R11" i="29"/>
  <c r="R13" i="29"/>
  <c r="Q14" i="29"/>
  <c r="Q21" i="29"/>
  <c r="Q22" i="29"/>
  <c r="S21" i="29"/>
  <c r="U21" i="29"/>
  <c r="V21" i="29"/>
  <c r="W21" i="29"/>
  <c r="X21" i="29"/>
  <c r="S22" i="29"/>
  <c r="U22" i="29"/>
  <c r="V22" i="29"/>
  <c r="W22" i="29"/>
  <c r="X22" i="29"/>
  <c r="S23" i="29"/>
  <c r="U23" i="29"/>
  <c r="V23" i="29"/>
  <c r="W23" i="29"/>
  <c r="X23" i="29"/>
  <c r="S24" i="29"/>
  <c r="U24" i="29"/>
  <c r="V24" i="29"/>
  <c r="W24" i="29"/>
  <c r="X24" i="29"/>
  <c r="S25" i="29"/>
  <c r="U25" i="29"/>
  <c r="V25" i="29"/>
  <c r="W25" i="29"/>
  <c r="X25" i="29"/>
  <c r="S26" i="29"/>
  <c r="U26" i="29"/>
  <c r="V26" i="29"/>
  <c r="W26" i="29"/>
  <c r="X26" i="29"/>
  <c r="S27" i="29"/>
  <c r="U27" i="29"/>
  <c r="V27" i="29"/>
  <c r="W27" i="29"/>
  <c r="X27" i="29"/>
  <c r="S28" i="29"/>
  <c r="U28" i="29"/>
  <c r="V28" i="29"/>
  <c r="W28" i="29"/>
  <c r="X28" i="29"/>
  <c r="S29" i="29"/>
  <c r="U29" i="29"/>
  <c r="V29" i="29"/>
  <c r="W29" i="29"/>
  <c r="X29" i="29"/>
  <c r="S30" i="29"/>
  <c r="U30" i="29"/>
  <c r="V30" i="29"/>
  <c r="W30" i="29"/>
  <c r="X30" i="29"/>
  <c r="S31" i="29"/>
  <c r="U31" i="29"/>
  <c r="V31" i="29"/>
  <c r="W31" i="29"/>
  <c r="X31" i="29"/>
  <c r="S32" i="29"/>
  <c r="U32" i="29"/>
  <c r="V32" i="29"/>
  <c r="W32" i="29"/>
  <c r="X32" i="29"/>
  <c r="S33" i="29"/>
  <c r="U33" i="29"/>
  <c r="V33" i="29"/>
  <c r="W33" i="29"/>
  <c r="X33" i="29"/>
  <c r="S34" i="29"/>
  <c r="U34" i="29"/>
  <c r="V34" i="29"/>
  <c r="W34" i="29"/>
  <c r="X34" i="29"/>
  <c r="S35" i="29"/>
  <c r="U35" i="29"/>
  <c r="V35" i="29"/>
  <c r="W35" i="29"/>
  <c r="X35" i="29"/>
  <c r="S36" i="29"/>
  <c r="U36" i="29"/>
  <c r="V36" i="29"/>
  <c r="W36" i="29"/>
  <c r="X36" i="29"/>
  <c r="S37" i="29"/>
  <c r="U37" i="29"/>
  <c r="V37" i="29"/>
  <c r="W37" i="29"/>
  <c r="X37" i="29"/>
  <c r="S38" i="29"/>
  <c r="U38" i="29"/>
  <c r="V38" i="29"/>
  <c r="W38" i="29"/>
  <c r="X38" i="29"/>
  <c r="S39" i="29"/>
  <c r="U39" i="29"/>
  <c r="V39" i="29"/>
  <c r="W39" i="29"/>
  <c r="X39" i="29"/>
  <c r="S40" i="29"/>
  <c r="U40" i="29"/>
  <c r="V40" i="29"/>
  <c r="W40" i="29"/>
  <c r="X40" i="29"/>
  <c r="S41" i="29"/>
  <c r="U41" i="29"/>
  <c r="V41" i="29"/>
  <c r="W41" i="29"/>
  <c r="X41" i="29"/>
  <c r="S42" i="29"/>
  <c r="U42" i="29"/>
  <c r="V42" i="29"/>
  <c r="W42" i="29"/>
  <c r="X42" i="29"/>
  <c r="S43" i="29"/>
  <c r="U43" i="29"/>
  <c r="V43" i="29"/>
  <c r="W43" i="29"/>
  <c r="X43" i="29"/>
  <c r="S44" i="29"/>
  <c r="U44" i="29"/>
  <c r="V44" i="29"/>
  <c r="W44" i="29"/>
  <c r="X44" i="29"/>
  <c r="S45" i="29"/>
  <c r="U45" i="29"/>
  <c r="V45" i="29"/>
  <c r="W45" i="29"/>
  <c r="X45" i="29"/>
  <c r="S46" i="29"/>
  <c r="U46" i="29"/>
  <c r="V46" i="29"/>
  <c r="W46" i="29"/>
  <c r="X46" i="29"/>
  <c r="S47" i="29"/>
  <c r="U47" i="29"/>
  <c r="V47" i="29"/>
  <c r="W47" i="29"/>
  <c r="X47" i="29"/>
  <c r="S48" i="29"/>
  <c r="U48" i="29"/>
  <c r="V48" i="29"/>
  <c r="W48" i="29"/>
  <c r="X48" i="29"/>
  <c r="S49" i="29"/>
  <c r="U49" i="29"/>
  <c r="V49" i="29"/>
  <c r="W49" i="29"/>
  <c r="X49" i="29"/>
  <c r="S50" i="29"/>
  <c r="U50" i="29"/>
  <c r="V50" i="29"/>
  <c r="W50" i="29"/>
  <c r="X50" i="29"/>
  <c r="S51" i="29"/>
  <c r="U51" i="29"/>
  <c r="V51" i="29"/>
  <c r="W51" i="29"/>
  <c r="X51" i="29"/>
  <c r="S52" i="29"/>
  <c r="U52" i="29"/>
  <c r="V52" i="29"/>
  <c r="W52" i="29"/>
  <c r="X52" i="29"/>
  <c r="S53" i="29"/>
  <c r="U53" i="29"/>
  <c r="V53" i="29"/>
  <c r="W53" i="29"/>
  <c r="X53" i="29"/>
  <c r="S54" i="29"/>
  <c r="U54" i="29"/>
  <c r="V54" i="29"/>
  <c r="W54" i="29"/>
  <c r="X54" i="29"/>
  <c r="S55" i="29"/>
  <c r="U55" i="29"/>
  <c r="V55" i="29"/>
  <c r="W55" i="29"/>
  <c r="X55" i="29"/>
  <c r="S56" i="29"/>
  <c r="U56" i="29"/>
  <c r="V56" i="29"/>
  <c r="W56" i="29"/>
  <c r="X56" i="29"/>
  <c r="S57" i="29"/>
  <c r="U57" i="29"/>
  <c r="V57" i="29"/>
  <c r="W57" i="29"/>
  <c r="X57" i="29"/>
  <c r="S58" i="29"/>
  <c r="U58" i="29"/>
  <c r="V58" i="29"/>
  <c r="W58" i="29"/>
  <c r="X58" i="29"/>
  <c r="S59" i="29"/>
  <c r="U59" i="29"/>
  <c r="V59" i="29"/>
  <c r="W59" i="29"/>
  <c r="X59" i="29"/>
  <c r="S60" i="29"/>
  <c r="U60" i="29"/>
  <c r="V60" i="29"/>
  <c r="W60" i="29"/>
  <c r="X60" i="29"/>
  <c r="S61" i="29"/>
  <c r="U61" i="29"/>
  <c r="V61" i="29"/>
  <c r="W61" i="29"/>
  <c r="X61" i="29"/>
  <c r="S62" i="29"/>
  <c r="U62" i="29"/>
  <c r="V62" i="29"/>
  <c r="W62" i="29"/>
  <c r="X62" i="29"/>
  <c r="S63" i="29"/>
  <c r="U63" i="29"/>
  <c r="V63" i="29"/>
  <c r="W63" i="29"/>
  <c r="X63" i="29"/>
  <c r="S64" i="29"/>
  <c r="U64" i="29"/>
  <c r="V64" i="29"/>
  <c r="W64" i="29"/>
  <c r="X64" i="29"/>
  <c r="S65" i="29"/>
  <c r="U65" i="29"/>
  <c r="V65" i="29"/>
  <c r="W65" i="29"/>
  <c r="X65" i="29"/>
  <c r="X20" i="29"/>
  <c r="W20" i="29"/>
  <c r="V20" i="29"/>
  <c r="U20" i="29"/>
  <c r="S20" i="29"/>
  <c r="X19" i="29"/>
  <c r="W19" i="29"/>
  <c r="V19" i="29"/>
  <c r="U19" i="29"/>
  <c r="S19" i="29"/>
  <c r="X18" i="29"/>
  <c r="W18" i="29"/>
  <c r="V18" i="29"/>
  <c r="U18" i="29"/>
  <c r="S18" i="29"/>
  <c r="X17" i="29"/>
  <c r="W17" i="29"/>
  <c r="V17" i="29"/>
  <c r="U17" i="29"/>
  <c r="S17" i="29"/>
  <c r="X16" i="29"/>
  <c r="W16" i="29"/>
  <c r="V16" i="29"/>
  <c r="U16" i="29"/>
  <c r="S16" i="29"/>
  <c r="X15" i="29"/>
  <c r="W15" i="29"/>
  <c r="V15" i="29"/>
  <c r="U15" i="29"/>
  <c r="S15" i="29"/>
  <c r="X14" i="29"/>
  <c r="W14" i="29"/>
  <c r="V14" i="29"/>
  <c r="U14" i="29"/>
  <c r="S14" i="29"/>
  <c r="X13" i="29"/>
  <c r="W13" i="29"/>
  <c r="V13" i="29"/>
  <c r="U13" i="29"/>
  <c r="S13" i="29"/>
  <c r="X12" i="29"/>
  <c r="W12" i="29"/>
  <c r="V12" i="29"/>
  <c r="U12" i="29"/>
  <c r="S12" i="29"/>
  <c r="X11" i="29"/>
  <c r="W11" i="29"/>
  <c r="V11" i="29"/>
  <c r="U11" i="29"/>
  <c r="S11" i="29"/>
  <c r="X10" i="29"/>
  <c r="W10" i="29"/>
  <c r="V10" i="29"/>
  <c r="U10" i="29"/>
  <c r="S10" i="29"/>
  <c r="X9" i="29"/>
  <c r="W9" i="29"/>
  <c r="V9" i="29"/>
  <c r="U9" i="29"/>
  <c r="S9" i="29"/>
  <c r="X8" i="29"/>
  <c r="W8" i="29"/>
  <c r="V8" i="29"/>
  <c r="U8" i="29"/>
  <c r="S8" i="29"/>
  <c r="X7" i="29"/>
  <c r="W7" i="29"/>
  <c r="V7" i="29"/>
  <c r="U7" i="29"/>
  <c r="S7" i="29"/>
  <c r="X6" i="29"/>
  <c r="W6" i="29"/>
  <c r="V6" i="29"/>
  <c r="U6" i="29"/>
  <c r="S6" i="29"/>
  <c r="X5" i="29"/>
  <c r="W5" i="29"/>
  <c r="V5" i="29"/>
  <c r="U5" i="29"/>
  <c r="S5" i="29"/>
  <c r="X4" i="29"/>
  <c r="W4" i="29"/>
  <c r="V4" i="29"/>
  <c r="U4" i="29"/>
  <c r="S4" i="29"/>
  <c r="X3" i="29"/>
  <c r="W3" i="29"/>
  <c r="V3" i="29"/>
  <c r="U3" i="29"/>
  <c r="S3" i="29"/>
  <c r="X2" i="29"/>
  <c r="V2" i="29"/>
  <c r="U2" i="29"/>
  <c r="S2" i="29"/>
  <c r="W21" i="28"/>
  <c r="V21" i="28"/>
  <c r="U21" i="28"/>
  <c r="T21" i="28"/>
  <c r="R21" i="28"/>
  <c r="W20" i="28"/>
  <c r="V20" i="28"/>
  <c r="U20" i="28"/>
  <c r="T20" i="28"/>
  <c r="R20" i="28"/>
  <c r="W19" i="28"/>
  <c r="V19" i="28"/>
  <c r="U19" i="28"/>
  <c r="T19" i="28"/>
  <c r="R19" i="28"/>
  <c r="T3" i="24"/>
  <c r="T4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" i="24"/>
  <c r="P12" i="24"/>
  <c r="P13" i="24"/>
  <c r="O4" i="24"/>
  <c r="O20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" i="24"/>
  <c r="C3" i="23"/>
  <c r="C4" i="23"/>
  <c r="C5" i="23"/>
  <c r="C6" i="23"/>
  <c r="C7" i="23"/>
  <c r="C8" i="23"/>
  <c r="C9" i="23"/>
  <c r="C10" i="23"/>
  <c r="C11" i="23"/>
  <c r="C2" i="23"/>
  <c r="S2" i="17"/>
  <c r="R2" i="17"/>
  <c r="Q2" i="17"/>
  <c r="P2" i="17"/>
  <c r="O2" i="17"/>
  <c r="N2" i="17"/>
  <c r="M2" i="17"/>
  <c r="L2" i="17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2" i="20"/>
  <c r="L3" i="20"/>
  <c r="M3" i="20"/>
  <c r="N3" i="20"/>
  <c r="O3" i="20"/>
  <c r="P3" i="20"/>
  <c r="R3" i="20"/>
  <c r="S3" i="20"/>
  <c r="L4" i="20"/>
  <c r="M4" i="20"/>
  <c r="N4" i="20"/>
  <c r="O4" i="20"/>
  <c r="P4" i="20"/>
  <c r="R4" i="20"/>
  <c r="S4" i="20"/>
  <c r="L5" i="20"/>
  <c r="M5" i="20"/>
  <c r="N5" i="20"/>
  <c r="O5" i="20"/>
  <c r="P5" i="20"/>
  <c r="R5" i="20"/>
  <c r="S5" i="20"/>
  <c r="L6" i="20"/>
  <c r="M6" i="20"/>
  <c r="N6" i="20"/>
  <c r="O6" i="20"/>
  <c r="P6" i="20"/>
  <c r="R6" i="20"/>
  <c r="S6" i="20"/>
  <c r="L7" i="20"/>
  <c r="M7" i="20"/>
  <c r="N7" i="20"/>
  <c r="O7" i="20"/>
  <c r="P7" i="20"/>
  <c r="R7" i="20"/>
  <c r="S7" i="20"/>
  <c r="L8" i="20"/>
  <c r="M8" i="20"/>
  <c r="N8" i="20"/>
  <c r="O8" i="20"/>
  <c r="P8" i="20"/>
  <c r="R8" i="20"/>
  <c r="S8" i="20"/>
  <c r="L9" i="20"/>
  <c r="M9" i="20"/>
  <c r="N9" i="20"/>
  <c r="O9" i="20"/>
  <c r="P9" i="20"/>
  <c r="R9" i="20"/>
  <c r="S9" i="20"/>
  <c r="L10" i="20"/>
  <c r="M10" i="20"/>
  <c r="N10" i="20"/>
  <c r="O10" i="20"/>
  <c r="P10" i="20"/>
  <c r="R10" i="20"/>
  <c r="S10" i="20"/>
  <c r="L11" i="20"/>
  <c r="M11" i="20"/>
  <c r="N11" i="20"/>
  <c r="O11" i="20"/>
  <c r="P11" i="20"/>
  <c r="R11" i="20"/>
  <c r="S11" i="20"/>
  <c r="L12" i="20"/>
  <c r="M12" i="20"/>
  <c r="N12" i="20"/>
  <c r="O12" i="20"/>
  <c r="P12" i="20"/>
  <c r="R12" i="20"/>
  <c r="S12" i="20"/>
  <c r="L13" i="20"/>
  <c r="M13" i="20"/>
  <c r="N13" i="20"/>
  <c r="O13" i="20"/>
  <c r="P13" i="20"/>
  <c r="R13" i="20"/>
  <c r="S13" i="20"/>
  <c r="L14" i="20"/>
  <c r="M14" i="20"/>
  <c r="N14" i="20"/>
  <c r="O14" i="20"/>
  <c r="P14" i="20"/>
  <c r="R14" i="20"/>
  <c r="S14" i="20"/>
  <c r="L15" i="20"/>
  <c r="M15" i="20"/>
  <c r="N15" i="20"/>
  <c r="O15" i="20"/>
  <c r="P15" i="20"/>
  <c r="R15" i="20"/>
  <c r="S15" i="20"/>
  <c r="L16" i="20"/>
  <c r="M16" i="20"/>
  <c r="N16" i="20"/>
  <c r="O16" i="20"/>
  <c r="P16" i="20"/>
  <c r="R16" i="20"/>
  <c r="S16" i="20"/>
  <c r="L17" i="20"/>
  <c r="M17" i="20"/>
  <c r="N17" i="20"/>
  <c r="O17" i="20"/>
  <c r="P17" i="20"/>
  <c r="R17" i="20"/>
  <c r="S17" i="20"/>
  <c r="S2" i="20"/>
  <c r="R2" i="20"/>
  <c r="P2" i="20"/>
  <c r="O2" i="20"/>
  <c r="N2" i="20"/>
  <c r="M2" i="20"/>
  <c r="L2" i="20"/>
  <c r="S3" i="7"/>
  <c r="S2" i="7"/>
  <c r="R3" i="7"/>
  <c r="R2" i="7"/>
  <c r="O3" i="7"/>
  <c r="P3" i="7"/>
  <c r="Q3" i="7"/>
  <c r="P2" i="7"/>
  <c r="Q2" i="7"/>
  <c r="O2" i="7"/>
  <c r="N3" i="7"/>
  <c r="N2" i="7"/>
  <c r="M3" i="7"/>
  <c r="M2" i="7"/>
  <c r="L3" i="7"/>
  <c r="L2" i="7"/>
  <c r="P11" i="24" l="1"/>
  <c r="R11" i="24" s="1"/>
  <c r="O6" i="24"/>
  <c r="R6" i="24" s="1"/>
  <c r="P2" i="24"/>
  <c r="R2" i="24" s="1"/>
  <c r="P5" i="24"/>
  <c r="R5" i="24" s="1"/>
  <c r="O19" i="24"/>
  <c r="R19" i="24" s="1"/>
  <c r="O3" i="24"/>
  <c r="R3" i="24" s="1"/>
  <c r="O14" i="24"/>
  <c r="R14" i="24" s="1"/>
  <c r="R12" i="24"/>
  <c r="O7" i="24"/>
  <c r="R7" i="24" s="1"/>
  <c r="P15" i="24"/>
  <c r="R15" i="24" s="1"/>
  <c r="O8" i="24"/>
  <c r="R8" i="24" s="1"/>
  <c r="P21" i="28"/>
  <c r="S21" i="28" s="1"/>
  <c r="O9" i="24"/>
  <c r="R9" i="24" s="1"/>
  <c r="O17" i="24"/>
  <c r="R17" i="24" s="1"/>
  <c r="O16" i="24"/>
  <c r="R16" i="24" s="1"/>
  <c r="P20" i="28"/>
  <c r="S20" i="28" s="1"/>
  <c r="R13" i="24"/>
  <c r="R4" i="24"/>
  <c r="R20" i="24"/>
  <c r="O18" i="24"/>
  <c r="R18" i="24" s="1"/>
  <c r="O10" i="24"/>
  <c r="R10" i="24" s="1"/>
  <c r="P19" i="28"/>
  <c r="S19" i="28" s="1"/>
  <c r="Q13" i="29"/>
  <c r="T13" i="29" s="1"/>
  <c r="Q3" i="29"/>
  <c r="T3" i="29" s="1"/>
  <c r="Q11" i="29"/>
  <c r="T11" i="29" s="1"/>
  <c r="R20" i="29"/>
  <c r="T20" i="29" s="1"/>
  <c r="Q5" i="29"/>
  <c r="T5" i="29" s="1"/>
  <c r="Q4" i="29"/>
  <c r="T4" i="29" s="1"/>
  <c r="Q12" i="29"/>
  <c r="T12" i="29" s="1"/>
  <c r="R6" i="29"/>
  <c r="T6" i="29" s="1"/>
  <c r="Q65" i="29"/>
  <c r="T65" i="29" s="1"/>
  <c r="Q53" i="29"/>
  <c r="T53" i="29" s="1"/>
  <c r="Q37" i="29"/>
  <c r="T37" i="29" s="1"/>
  <c r="Q64" i="29"/>
  <c r="T64" i="29" s="1"/>
  <c r="Q52" i="29"/>
  <c r="T52" i="29" s="1"/>
  <c r="Q36" i="29"/>
  <c r="T36" i="29" s="1"/>
  <c r="R63" i="29"/>
  <c r="T63" i="29" s="1"/>
  <c r="Q48" i="29"/>
  <c r="T48" i="29" s="1"/>
  <c r="Q32" i="29"/>
  <c r="T32" i="29" s="1"/>
  <c r="R61" i="29"/>
  <c r="T61" i="29" s="1"/>
  <c r="R45" i="29"/>
  <c r="T45" i="29" s="1"/>
  <c r="R29" i="29"/>
  <c r="T29" i="29" s="1"/>
  <c r="Q60" i="29"/>
  <c r="T60" i="29" s="1"/>
  <c r="Q28" i="29"/>
  <c r="T28" i="29" s="1"/>
  <c r="R57" i="29"/>
  <c r="T57" i="29" s="1"/>
  <c r="Q44" i="29"/>
  <c r="T44" i="29" s="1"/>
  <c r="Q24" i="29"/>
  <c r="T24" i="29" s="1"/>
  <c r="Q56" i="29"/>
  <c r="T56" i="29" s="1"/>
  <c r="Q40" i="29"/>
  <c r="T40" i="29" s="1"/>
  <c r="R21" i="29"/>
  <c r="T21" i="29" s="1"/>
  <c r="Q15" i="29"/>
  <c r="T15" i="29" s="1"/>
  <c r="Q18" i="29"/>
  <c r="T18" i="29" s="1"/>
  <c r="R59" i="29"/>
  <c r="T59" i="29" s="1"/>
  <c r="R55" i="29"/>
  <c r="T55" i="29" s="1"/>
  <c r="R51" i="29"/>
  <c r="T51" i="29" s="1"/>
  <c r="R47" i="29"/>
  <c r="T47" i="29" s="1"/>
  <c r="R43" i="29"/>
  <c r="T43" i="29" s="1"/>
  <c r="R39" i="29"/>
  <c r="T39" i="29" s="1"/>
  <c r="R35" i="29"/>
  <c r="T35" i="29" s="1"/>
  <c r="R31" i="29"/>
  <c r="T31" i="29" s="1"/>
  <c r="R27" i="29"/>
  <c r="T27" i="29" s="1"/>
  <c r="R23" i="29"/>
  <c r="T23" i="29" s="1"/>
  <c r="Q7" i="29"/>
  <c r="T7" i="29" s="1"/>
  <c r="Q10" i="29"/>
  <c r="T10" i="29" s="1"/>
  <c r="R62" i="29"/>
  <c r="T62" i="29" s="1"/>
  <c r="R58" i="29"/>
  <c r="T58" i="29" s="1"/>
  <c r="R54" i="29"/>
  <c r="T54" i="29" s="1"/>
  <c r="R50" i="29"/>
  <c r="T50" i="29" s="1"/>
  <c r="R46" i="29"/>
  <c r="T46" i="29" s="1"/>
  <c r="R42" i="29"/>
  <c r="T42" i="29" s="1"/>
  <c r="R38" i="29"/>
  <c r="T38" i="29" s="1"/>
  <c r="R34" i="29"/>
  <c r="T34" i="29" s="1"/>
  <c r="R30" i="29"/>
  <c r="T30" i="29" s="1"/>
  <c r="R26" i="29"/>
  <c r="T26" i="29" s="1"/>
  <c r="R22" i="29"/>
  <c r="T22" i="29" s="1"/>
  <c r="R49" i="29"/>
  <c r="T49" i="29" s="1"/>
  <c r="R41" i="29"/>
  <c r="T41" i="29" s="1"/>
  <c r="R33" i="29"/>
  <c r="T33" i="29" s="1"/>
  <c r="R25" i="29"/>
  <c r="T25" i="29" s="1"/>
  <c r="R14" i="29"/>
  <c r="T14" i="29" s="1"/>
  <c r="Q19" i="29"/>
  <c r="T19" i="29" s="1"/>
  <c r="Q9" i="29"/>
  <c r="T9" i="29" s="1"/>
  <c r="Q17" i="29"/>
  <c r="T17" i="29" s="1"/>
  <c r="Q8" i="29"/>
  <c r="T8" i="29" s="1"/>
  <c r="Q16" i="29"/>
  <c r="T16" i="29" s="1"/>
  <c r="R2" i="29"/>
  <c r="T2" i="29" s="1"/>
</calcChain>
</file>

<file path=xl/sharedStrings.xml><?xml version="1.0" encoding="utf-8"?>
<sst xmlns="http://schemas.openxmlformats.org/spreadsheetml/2006/main" count="2387" uniqueCount="299">
  <si>
    <t>id</t>
    <phoneticPr fontId="2"/>
  </si>
  <si>
    <t>1</t>
    <phoneticPr fontId="1"/>
  </si>
  <si>
    <t>email</t>
    <phoneticPr fontId="2"/>
  </si>
  <si>
    <t>password</t>
    <phoneticPr fontId="1"/>
  </si>
  <si>
    <t>ichiro@example.com</t>
    <phoneticPr fontId="1"/>
  </si>
  <si>
    <t>email_message</t>
    <phoneticPr fontId="1"/>
  </si>
  <si>
    <t>password_message</t>
    <phoneticPr fontId="1"/>
  </si>
  <si>
    <t>abc</t>
    <phoneticPr fontId="1"/>
  </si>
  <si>
    <t>2</t>
    <phoneticPr fontId="1"/>
  </si>
  <si>
    <t>3</t>
    <phoneticPr fontId="1"/>
  </si>
  <si>
    <t>4</t>
  </si>
  <si>
    <t>5</t>
  </si>
  <si>
    <t>6</t>
  </si>
  <si>
    <t>7</t>
  </si>
  <si>
    <t>ichiroexample.com</t>
    <phoneticPr fontId="1"/>
  </si>
  <si>
    <t>abcedfg@example.com</t>
    <phoneticPr fontId="1"/>
  </si>
  <si>
    <t>pass1234</t>
    <phoneticPr fontId="1"/>
  </si>
  <si>
    <t>pass9876</t>
    <phoneticPr fontId="1"/>
  </si>
  <si>
    <t>このフィールドを入力してください。</t>
    <phoneticPr fontId="1"/>
  </si>
  <si>
    <t>メールアドレスを入力してください。</t>
    <phoneticPr fontId="1"/>
  </si>
  <si>
    <t>メールアドレスまたはパスワードが違います。</t>
    <phoneticPr fontId="1"/>
  </si>
  <si>
    <t>sakura@example.com</t>
    <phoneticPr fontId="1"/>
  </si>
  <si>
    <t>wordpass</t>
    <phoneticPr fontId="1"/>
  </si>
  <si>
    <t>page</t>
    <phoneticPr fontId="1"/>
  </si>
  <si>
    <t>ホーム</t>
    <phoneticPr fontId="1"/>
  </si>
  <si>
    <t>宿泊予約</t>
    <rPh sb="0" eb="4">
      <t>シュクハクヨヤク</t>
    </rPh>
    <phoneticPr fontId="1"/>
  </si>
  <si>
    <t>マイページ</t>
    <phoneticPr fontId="1"/>
  </si>
  <si>
    <t>アイコン設定</t>
    <rPh sb="4" eb="6">
      <t>セッテイ</t>
    </rPh>
    <phoneticPr fontId="1"/>
  </si>
  <si>
    <t>username</t>
    <phoneticPr fontId="1"/>
  </si>
  <si>
    <t>rank</t>
    <phoneticPr fontId="1"/>
  </si>
  <si>
    <t>プレミアム会員</t>
    <rPh sb="5" eb="7">
      <t>カイイン</t>
    </rPh>
    <phoneticPr fontId="1"/>
  </si>
  <si>
    <t>廣島史也</t>
    <rPh sb="0" eb="2">
      <t>ヒロシマ</t>
    </rPh>
    <rPh sb="2" eb="4">
      <t>フミヤ</t>
    </rPh>
    <phoneticPr fontId="1"/>
  </si>
  <si>
    <t>word-pass</t>
    <phoneticPr fontId="1"/>
  </si>
  <si>
    <t>TesttesT@example.com</t>
    <phoneticPr fontId="1"/>
  </si>
  <si>
    <t>password_confirmation</t>
    <phoneticPr fontId="1"/>
  </si>
  <si>
    <t>Testdesu@example.com</t>
    <phoneticPr fontId="1"/>
  </si>
  <si>
    <t>wordword</t>
    <phoneticPr fontId="1"/>
  </si>
  <si>
    <t>一般会員</t>
    <rPh sb="0" eb="4">
      <t>イッパンカイイン</t>
    </rPh>
    <phoneticPr fontId="1"/>
  </si>
  <si>
    <t>テスト太郎</t>
    <rPh sb="3" eb="5">
      <t>タロウ</t>
    </rPh>
    <phoneticPr fontId="1"/>
  </si>
  <si>
    <t>address</t>
    <phoneticPr fontId="1"/>
  </si>
  <si>
    <t>tel</t>
    <phoneticPr fontId="1"/>
  </si>
  <si>
    <t>gender</t>
    <phoneticPr fontId="1"/>
  </si>
  <si>
    <t>birthday</t>
    <phoneticPr fontId="1"/>
  </si>
  <si>
    <t>check_username</t>
    <phoneticPr fontId="1"/>
  </si>
  <si>
    <t>notification</t>
    <phoneticPr fontId="1"/>
  </si>
  <si>
    <t>ON</t>
    <phoneticPr fontId="1"/>
  </si>
  <si>
    <t>札幌</t>
    <rPh sb="0" eb="2">
      <t>サッポロ</t>
    </rPh>
    <phoneticPr fontId="1"/>
  </si>
  <si>
    <t>01208288281</t>
    <phoneticPr fontId="1"/>
  </si>
  <si>
    <t>男性</t>
    <rPh sb="0" eb="2">
      <t>ダンセイ</t>
    </rPh>
    <phoneticPr fontId="1"/>
  </si>
  <si>
    <t>2001-02-10</t>
    <phoneticPr fontId="1"/>
  </si>
  <si>
    <t>&lt;ignore&gt;</t>
    <phoneticPr fontId="1"/>
  </si>
  <si>
    <t>check_email</t>
    <phoneticPr fontId="1"/>
  </si>
  <si>
    <t>check_rank</t>
    <phoneticPr fontId="1"/>
  </si>
  <si>
    <t>check_address</t>
    <phoneticPr fontId="1"/>
  </si>
  <si>
    <t>check_tel</t>
    <phoneticPr fontId="1"/>
  </si>
  <si>
    <t>check_gender</t>
    <phoneticPr fontId="1"/>
  </si>
  <si>
    <t>check_birthday</t>
    <phoneticPr fontId="1"/>
  </si>
  <si>
    <t>email_message</t>
    <phoneticPr fontId="2"/>
  </si>
  <si>
    <t>password_confirm_message</t>
    <phoneticPr fontId="1"/>
  </si>
  <si>
    <t>username_message</t>
    <phoneticPr fontId="1"/>
  </si>
  <si>
    <t>tel_message</t>
    <phoneticPr fontId="1"/>
  </si>
  <si>
    <t>birthday_message</t>
    <phoneticPr fontId="1"/>
  </si>
  <si>
    <t>0120</t>
    <phoneticPr fontId="1"/>
  </si>
  <si>
    <t>指定されている形式で入力してください。</t>
    <phoneticPr fontId="1"/>
  </si>
  <si>
    <t>有効な値を入力してください。</t>
    <phoneticPr fontId="1"/>
  </si>
  <si>
    <t>abc.123.-!#$%&amp;'*+-/=?^_`{|}~@example.com</t>
    <phoneticPr fontId="1"/>
  </si>
  <si>
    <t>abc.123.-!#$%&amp;'*+-/=?^_`{|}~@</t>
    <phoneticPr fontId="1"/>
  </si>
  <si>
    <r>
      <t>あアｱ亜aAａＡ123１２３%&amp;％＆</t>
    </r>
    <r>
      <rPr>
        <sz val="11"/>
        <color theme="1"/>
        <rFont val="Segoe UI Symbol"/>
        <family val="2"/>
      </rPr>
      <t>😀</t>
    </r>
    <phoneticPr fontId="1"/>
  </si>
  <si>
    <t>4</t>
    <phoneticPr fontId="1"/>
  </si>
  <si>
    <t>8文字以上で入力してください。</t>
    <phoneticPr fontId="1"/>
  </si>
  <si>
    <t>0020010231</t>
    <phoneticPr fontId="1"/>
  </si>
  <si>
    <t>filename</t>
    <phoneticPr fontId="2"/>
  </si>
  <si>
    <t>Case1.jpg</t>
    <phoneticPr fontId="1"/>
  </si>
  <si>
    <t>Case2.png</t>
    <phoneticPr fontId="1"/>
  </si>
  <si>
    <t>Case3.gif</t>
    <phoneticPr fontId="1"/>
  </si>
  <si>
    <t>Case4.bmp</t>
    <phoneticPr fontId="1"/>
  </si>
  <si>
    <t>ファイルサイズは10KB以下にしてください。</t>
    <phoneticPr fontId="1"/>
  </si>
  <si>
    <t>画像ファイルを選択してください。</t>
    <phoneticPr fontId="1"/>
  </si>
  <si>
    <t>Case5.jpg</t>
    <phoneticPr fontId="1"/>
  </si>
  <si>
    <t>Case6.xlsx</t>
    <phoneticPr fontId="1"/>
  </si>
  <si>
    <t>icon_message</t>
    <phoneticPr fontId="1"/>
  </si>
  <si>
    <t>icon_img</t>
    <phoneticPr fontId="1"/>
  </si>
  <si>
    <t>zoom</t>
    <phoneticPr fontId="1"/>
  </si>
  <si>
    <t>535;0</t>
    <phoneticPr fontId="1"/>
  </si>
  <si>
    <t>0;0</t>
    <phoneticPr fontId="1"/>
  </si>
  <si>
    <t>width: 110px; height: 110px;</t>
    <phoneticPr fontId="1"/>
  </si>
  <si>
    <t>width: 10px; height: 10px;</t>
    <phoneticPr fontId="1"/>
  </si>
  <si>
    <t>メールアドレスまたはパスワードが違います。</t>
  </si>
  <si>
    <t>check_notification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</si>
  <si>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</si>
  <si>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</si>
  <si>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</si>
  <si>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</si>
  <si>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</si>
  <si>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</si>
  <si>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12</t>
  </si>
  <si>
    <t>11</t>
    <phoneticPr fontId="1"/>
  </si>
  <si>
    <t>13</t>
  </si>
  <si>
    <t>14</t>
  </si>
  <si>
    <t>15</t>
  </si>
  <si>
    <t>16</t>
  </si>
  <si>
    <t>プレミアム会員</t>
    <rPh sb="5" eb="7">
      <t>カイイン</t>
    </rPh>
    <phoneticPr fontId="2"/>
  </si>
  <si>
    <t>一般会員</t>
    <rPh sb="0" eb="2">
      <t>イッパン</t>
    </rPh>
    <rPh sb="2" eb="4">
      <t>カイイン</t>
    </rPh>
    <phoneticPr fontId="2"/>
  </si>
  <si>
    <t>回答しない</t>
    <rPh sb="0" eb="2">
      <t>カイトウ</t>
    </rPh>
    <phoneticPr fontId="2"/>
  </si>
  <si>
    <t>男性</t>
    <rPh sb="0" eb="2">
      <t>ダンセイ</t>
    </rPh>
    <phoneticPr fontId="2"/>
  </si>
  <si>
    <t>女性</t>
    <rPh sb="0" eb="2">
      <t>ジョセイ</t>
    </rPh>
    <phoneticPr fontId="2"/>
  </si>
  <si>
    <t>その他</t>
    <rPh sb="2" eb="3">
      <t>タ</t>
    </rPh>
    <phoneticPr fontId="2"/>
  </si>
  <si>
    <t>ON</t>
  </si>
  <si>
    <t>OFF</t>
  </si>
  <si>
    <t>8</t>
  </si>
  <si>
    <t>9</t>
  </si>
  <si>
    <t>10</t>
  </si>
  <si>
    <t>11</t>
  </si>
  <si>
    <t>17</t>
  </si>
  <si>
    <t>廣島史也</t>
    <rPh sb="0" eb="4">
      <t>ヒロシマフミヤ</t>
    </rPh>
    <phoneticPr fontId="1"/>
  </si>
  <si>
    <t>TesttesTexample.com</t>
    <phoneticPr fontId="1"/>
  </si>
  <si>
    <t>メールアドレスを入力してください。</t>
  </si>
  <si>
    <t>word</t>
    <phoneticPr fontId="1"/>
  </si>
  <si>
    <t>8文字以上で入力してください。</t>
  </si>
  <si>
    <t>012046494649</t>
    <phoneticPr fontId="1"/>
  </si>
  <si>
    <t>0120aabb235</t>
    <phoneticPr fontId="1"/>
  </si>
  <si>
    <t>このメールアドレスはすでに登録済みです。</t>
  </si>
  <si>
    <t>pass-word</t>
    <phoneticPr fontId="1"/>
  </si>
  <si>
    <t>入力されたパスワードと一致しません。</t>
  </si>
  <si>
    <t>ゲスト会員</t>
  </si>
  <si>
    <t>プレミアム会員</t>
  </si>
  <si>
    <t>一般会員</t>
  </si>
  <si>
    <t>id</t>
    <phoneticPr fontId="1"/>
  </si>
  <si>
    <t>planName</t>
    <phoneticPr fontId="1"/>
  </si>
  <si>
    <t>plan_name</t>
    <phoneticPr fontId="1"/>
  </si>
  <si>
    <t>plan_desc</t>
    <phoneticPr fontId="1"/>
  </si>
  <si>
    <t>room</t>
    <phoneticPr fontId="1"/>
  </si>
  <si>
    <t>お得な特典付きプラン</t>
    <phoneticPr fontId="1"/>
  </si>
  <si>
    <t>お一人様1泊7,000円〜、土日は25%アップ。1名様〜9名様、最長9泊</t>
    <phoneticPr fontId="1"/>
  </si>
  <si>
    <t>プレミアムプラン</t>
    <phoneticPr fontId="1"/>
  </si>
  <si>
    <t>お一人様1泊10,000円〜、土日は25%アップ。2名様〜9名様、最長9泊</t>
    <phoneticPr fontId="1"/>
  </si>
  <si>
    <t>ディナー付きプラン</t>
    <phoneticPr fontId="1"/>
  </si>
  <si>
    <t>お一人様1泊8,500円〜、土日は25%アップ。1名様〜4名様、最長3泊</t>
    <phoneticPr fontId="1"/>
  </si>
  <si>
    <t>お得なプラン</t>
    <phoneticPr fontId="1"/>
  </si>
  <si>
    <t>お一人様1泊6,000円〜、土日は25%アップ。1名様〜9名様、最長9泊</t>
    <phoneticPr fontId="1"/>
  </si>
  <si>
    <t>素泊まり</t>
    <phoneticPr fontId="1"/>
  </si>
  <si>
    <t>お一人様1泊5,500円〜、土日は25%アップ。1名様〜2名様、最長9泊</t>
    <phoneticPr fontId="1"/>
  </si>
  <si>
    <t>出張ビジネスプラン</t>
    <phoneticPr fontId="1"/>
  </si>
  <si>
    <t>お一人様1泊7,500円〜、土日は25%アップ。1名様〜2名様、最長9泊</t>
    <phoneticPr fontId="1"/>
  </si>
  <si>
    <t>お一人様1泊9,000円〜、土日は25%アップ。1名様〜6名様、最長9泊</t>
    <phoneticPr fontId="1"/>
  </si>
  <si>
    <t>エステ・マッサージプラン</t>
    <phoneticPr fontId="1"/>
  </si>
  <si>
    <t>貸し切り露天風呂プラン</t>
    <phoneticPr fontId="1"/>
  </si>
  <si>
    <t>お一人様1泊9,000円〜、土日は25%アップ。1名様〜6名様、最長3泊</t>
    <phoneticPr fontId="1"/>
  </si>
  <si>
    <t>カップル限定プラン</t>
    <phoneticPr fontId="1"/>
  </si>
  <si>
    <t>お一人様1泊8,000円〜、土日は25%アップ。2名様〜2名様、最長2泊</t>
    <phoneticPr fontId="1"/>
  </si>
  <si>
    <t>テーマパーク優待プラン</t>
    <phoneticPr fontId="1"/>
  </si>
  <si>
    <t>お一人様1泊10,000円〜、土日は25%アップ。1名様〜9名様、最長5泊</t>
  </si>
  <si>
    <t>×</t>
  </si>
  <si>
    <t>date</t>
    <phoneticPr fontId="1"/>
  </si>
  <si>
    <t>term</t>
    <phoneticPr fontId="1"/>
  </si>
  <si>
    <t>head_count</t>
    <phoneticPr fontId="1"/>
  </si>
  <si>
    <t>early_check_in</t>
    <phoneticPr fontId="1"/>
  </si>
  <si>
    <t>breakfast</t>
    <phoneticPr fontId="1"/>
  </si>
  <si>
    <t>sightseeing</t>
    <phoneticPr fontId="1"/>
  </si>
  <si>
    <t>contact</t>
    <phoneticPr fontId="1"/>
  </si>
  <si>
    <t>comment</t>
    <phoneticPr fontId="1"/>
  </si>
  <si>
    <t>checkterm</t>
    <phoneticPr fontId="1"/>
  </si>
  <si>
    <t>check_head_count</t>
    <phoneticPr fontId="1"/>
  </si>
  <si>
    <t>checkcontact</t>
    <phoneticPr fontId="1"/>
  </si>
  <si>
    <t>checkcomment</t>
    <phoneticPr fontId="1"/>
  </si>
  <si>
    <t>お一人様1泊7,000円〜、土日は25%アップ</t>
    <phoneticPr fontId="1"/>
  </si>
  <si>
    <t>お一人様1泊10,000円〜、土日は25%アップ</t>
    <phoneticPr fontId="1"/>
  </si>
  <si>
    <t>お一人様1泊8,500円〜、土日は25%アップ</t>
    <phoneticPr fontId="1"/>
  </si>
  <si>
    <t>お一人様1泊6,000円〜、土日は25%アップ</t>
    <phoneticPr fontId="1"/>
  </si>
  <si>
    <t>お一人様1泊5,500円〜、土日は25%アップ</t>
    <phoneticPr fontId="1"/>
  </si>
  <si>
    <t>お一人様1泊7,500円〜、土日は25%アップ</t>
    <phoneticPr fontId="1"/>
  </si>
  <si>
    <t>お一人様1泊9,000円〜、土日は25%アップ</t>
    <phoneticPr fontId="1"/>
  </si>
  <si>
    <t>お一人様1泊8,000円〜、土日は25%アップ</t>
    <phoneticPr fontId="1"/>
  </si>
  <si>
    <t>1</t>
    <phoneticPr fontId="2"/>
  </si>
  <si>
    <t>4</t>
    <phoneticPr fontId="2"/>
  </si>
  <si>
    <t>希望しない</t>
    <rPh sb="0" eb="2">
      <t>キボウ</t>
    </rPh>
    <phoneticPr fontId="1"/>
  </si>
  <si>
    <t>17</t>
    <phoneticPr fontId="1"/>
  </si>
  <si>
    <t>18</t>
    <phoneticPr fontId="1"/>
  </si>
  <si>
    <t>メールでのご連絡</t>
    <rPh sb="6" eb="8">
      <t>レンラク</t>
    </rPh>
    <phoneticPr fontId="1"/>
  </si>
  <si>
    <t>電話でのご連絡</t>
    <rPh sb="0" eb="2">
      <t>デンワ</t>
    </rPh>
    <rPh sb="5" eb="7">
      <t>レンラク</t>
    </rPh>
    <phoneticPr fontId="1"/>
  </si>
  <si>
    <t>テスト予約です。</t>
    <rPh sb="3" eb="5">
      <t>ヨヤク</t>
    </rPh>
    <phoneticPr fontId="1"/>
  </si>
  <si>
    <t>TesTes@example.com</t>
    <phoneticPr fontId="1"/>
  </si>
  <si>
    <t>01122233344</t>
    <phoneticPr fontId="1"/>
  </si>
  <si>
    <t>19</t>
    <phoneticPr fontId="1"/>
  </si>
  <si>
    <t>beforedate</t>
    <phoneticPr fontId="1"/>
  </si>
  <si>
    <t>afterdate</t>
    <phoneticPr fontId="1"/>
  </si>
  <si>
    <t>total_bill</t>
    <phoneticPr fontId="1"/>
  </si>
  <si>
    <t>2</t>
    <phoneticPr fontId="2"/>
  </si>
  <si>
    <t>2025/07/01</t>
    <phoneticPr fontId="1"/>
  </si>
  <si>
    <t>0</t>
    <phoneticPr fontId="2"/>
  </si>
  <si>
    <t>0</t>
    <phoneticPr fontId="1"/>
  </si>
  <si>
    <t>-</t>
    <phoneticPr fontId="1"/>
  </si>
  <si>
    <t>8,750円</t>
    <phoneticPr fontId="1"/>
  </si>
  <si>
    <t>14,000円</t>
    <phoneticPr fontId="1"/>
  </si>
  <si>
    <t>10,000円</t>
    <phoneticPr fontId="1"/>
  </si>
  <si>
    <t>32,000円</t>
    <phoneticPr fontId="1"/>
  </si>
  <si>
    <t>30,000円</t>
    <phoneticPr fontId="1"/>
  </si>
  <si>
    <t>ツイン</t>
  </si>
  <si>
    <t>シングル</t>
  </si>
  <si>
    <t>7,000円</t>
    <phoneticPr fontId="1"/>
  </si>
  <si>
    <t>20,000円</t>
    <phoneticPr fontId="1"/>
  </si>
  <si>
    <t>8,500円</t>
    <phoneticPr fontId="1"/>
  </si>
  <si>
    <t>6,000円</t>
    <phoneticPr fontId="1"/>
  </si>
  <si>
    <t>5,500円</t>
    <phoneticPr fontId="1"/>
  </si>
  <si>
    <t>7,500円</t>
    <phoneticPr fontId="1"/>
  </si>
  <si>
    <t>9,000円</t>
    <phoneticPr fontId="1"/>
  </si>
  <si>
    <t>16,000円</t>
    <phoneticPr fontId="1"/>
  </si>
  <si>
    <t>28,000円</t>
    <phoneticPr fontId="1"/>
  </si>
  <si>
    <t>21,000円</t>
    <phoneticPr fontId="1"/>
  </si>
  <si>
    <t>checkUserName</t>
    <phoneticPr fontId="1"/>
  </si>
  <si>
    <t>OFF</t>
    <phoneticPr fontId="1"/>
  </si>
  <si>
    <t>山田一郎</t>
    <phoneticPr fontId="1"/>
  </si>
  <si>
    <t>01234567891</t>
    <phoneticPr fontId="1"/>
  </si>
  <si>
    <t>pass-pass</t>
    <phoneticPr fontId="1"/>
  </si>
  <si>
    <t>yoshiki@example.com</t>
    <phoneticPr fontId="1"/>
  </si>
  <si>
    <t>木村良樹</t>
    <phoneticPr fontId="1"/>
  </si>
  <si>
    <t>01298765432</t>
    <phoneticPr fontId="1"/>
  </si>
  <si>
    <t>type</t>
    <phoneticPr fontId="1"/>
  </si>
  <si>
    <t>入力エラー検証</t>
    <rPh sb="0" eb="2">
      <t>ニュウリョク</t>
    </rPh>
    <rPh sb="5" eb="7">
      <t>ケンショウ</t>
    </rPh>
    <phoneticPr fontId="1"/>
  </si>
  <si>
    <t>20</t>
    <phoneticPr fontId="1"/>
  </si>
  <si>
    <t>文字種別</t>
    <rPh sb="0" eb="4">
      <t>モジシュベツ</t>
    </rPh>
    <phoneticPr fontId="1"/>
  </si>
  <si>
    <t>dateMessage</t>
    <phoneticPr fontId="1"/>
  </si>
  <si>
    <t>termMessage</t>
    <phoneticPr fontId="1"/>
  </si>
  <si>
    <t>usernameMessage</t>
    <phoneticPr fontId="1"/>
  </si>
  <si>
    <t>telMessage</t>
    <phoneticPr fontId="1"/>
  </si>
  <si>
    <t>emailMessage</t>
    <phoneticPr fontId="1"/>
  </si>
  <si>
    <t>head_countMessage</t>
    <phoneticPr fontId="1"/>
  </si>
  <si>
    <t>2025/07/あ</t>
    <phoneticPr fontId="1"/>
  </si>
  <si>
    <t>翌日以降の日付を入力してください。</t>
    <phoneticPr fontId="1"/>
  </si>
  <si>
    <t>3ヶ月以内の日付を入力してください。</t>
    <phoneticPr fontId="1"/>
  </si>
  <si>
    <t>10</t>
    <phoneticPr fontId="2"/>
  </si>
  <si>
    <t>1以上の値を入力してください。</t>
    <phoneticPr fontId="1"/>
  </si>
  <si>
    <t>9以下の値を入力してください。</t>
    <phoneticPr fontId="1"/>
  </si>
  <si>
    <t>01122233344455</t>
    <phoneticPr fontId="1"/>
  </si>
  <si>
    <t>ABCDEFGHAAA</t>
    <phoneticPr fontId="1"/>
  </si>
  <si>
    <t>0112223</t>
    <phoneticPr fontId="1"/>
  </si>
  <si>
    <r>
      <t>あアｱ亜aAａＡ123１２３%&amp;％＆</t>
    </r>
    <r>
      <rPr>
        <sz val="11"/>
        <color theme="1"/>
        <rFont val="Segoe UI Symbol"/>
        <family val="2"/>
      </rPr>
      <t>😀</t>
    </r>
    <rPh sb="3" eb="4">
      <t>ア</t>
    </rPh>
    <phoneticPr fontId="1"/>
  </si>
  <si>
    <t>お得な特典付きプラン</t>
    <rPh sb="1" eb="2">
      <t>トク</t>
    </rPh>
    <rPh sb="3" eb="5">
      <t>トクテン</t>
    </rPh>
    <rPh sb="5" eb="6">
      <t>ツキ</t>
    </rPh>
    <phoneticPr fontId="1"/>
  </si>
  <si>
    <t>ディナー付きプラン</t>
    <rPh sb="4" eb="5">
      <t>ツ</t>
    </rPh>
    <phoneticPr fontId="1"/>
  </si>
  <si>
    <t>出張ビジネスプラン</t>
    <rPh sb="0" eb="2">
      <t>シュッチョウ</t>
    </rPh>
    <phoneticPr fontId="1"/>
  </si>
  <si>
    <t>エステ・マッサージプラン</t>
  </si>
  <si>
    <t>お得なプラン</t>
    <rPh sb="1" eb="2">
      <t>トク</t>
    </rPh>
    <phoneticPr fontId="1"/>
  </si>
  <si>
    <t>素泊まり</t>
    <rPh sb="0" eb="2">
      <t>スド</t>
    </rPh>
    <phoneticPr fontId="1"/>
  </si>
  <si>
    <t>プレミアムプラン</t>
  </si>
  <si>
    <t>カップル限定プラン</t>
    <rPh sb="4" eb="6">
      <t>ゲンテイ</t>
    </rPh>
    <phoneticPr fontId="1"/>
  </si>
  <si>
    <t>貸し切り露天風呂プラン</t>
    <rPh sb="0" eb="1">
      <t>カ</t>
    </rPh>
    <rPh sb="2" eb="3">
      <t>キ</t>
    </rPh>
    <rPh sb="4" eb="6">
      <t>ロテン</t>
    </rPh>
    <rPh sb="6" eb="8">
      <t>ブロ</t>
    </rPh>
    <phoneticPr fontId="1"/>
  </si>
  <si>
    <t>テーマパーク優待プラン</t>
    <rPh sb="6" eb="8">
      <t>ユウタイ</t>
    </rPh>
    <phoneticPr fontId="1"/>
  </si>
  <si>
    <t>checkDate</t>
    <phoneticPr fontId="1"/>
  </si>
  <si>
    <t>10,000円</t>
  </si>
  <si>
    <t>9,500円</t>
  </si>
  <si>
    <t>8,500円</t>
  </si>
  <si>
    <t>10,500円</t>
  </si>
  <si>
    <t>11,000円</t>
  </si>
  <si>
    <t>20,000円</t>
  </si>
  <si>
    <t>18,000円</t>
  </si>
  <si>
    <t>15,000円</t>
  </si>
  <si>
    <t>22,000円</t>
  </si>
  <si>
    <t>24,000円</t>
  </si>
  <si>
    <t>19,125円</t>
  </si>
  <si>
    <t>reserveEmail</t>
    <phoneticPr fontId="1"/>
  </si>
  <si>
    <t>16,000円</t>
  </si>
  <si>
    <t>2025/12/12</t>
    <phoneticPr fontId="1"/>
  </si>
  <si>
    <t>9,000円</t>
  </si>
  <si>
    <t>17,000円</t>
  </si>
  <si>
    <t>19,000円</t>
  </si>
  <si>
    <t>46,000円</t>
  </si>
  <si>
    <t>38,000円</t>
  </si>
  <si>
    <t>44,000円</t>
  </si>
  <si>
    <t>23,250円</t>
  </si>
  <si>
    <t>17,750円</t>
  </si>
  <si>
    <t>49,000円</t>
  </si>
  <si>
    <t>29,000円</t>
  </si>
  <si>
    <t>26,750円</t>
  </si>
  <si>
    <t>14,250円</t>
  </si>
  <si>
    <t>9,750円</t>
  </si>
  <si>
    <t>11,625円</t>
  </si>
  <si>
    <t>10,375円</t>
  </si>
  <si>
    <t>25,000円</t>
  </si>
  <si>
    <t>10,750円</t>
  </si>
  <si>
    <t>12,625円</t>
  </si>
  <si>
    <t>11,375円</t>
  </si>
  <si>
    <t>11,250円</t>
  </si>
  <si>
    <t>21,000円</t>
  </si>
  <si>
    <t>15,750円</t>
  </si>
  <si>
    <t>27,000円</t>
  </si>
  <si>
    <t>23,125円</t>
  </si>
  <si>
    <t>18,875円</t>
  </si>
  <si>
    <t>21,250円</t>
  </si>
  <si>
    <t>30,750円</t>
  </si>
  <si>
    <t>51,000円</t>
  </si>
  <si>
    <t>40,000円</t>
  </si>
  <si>
    <t>45,000円</t>
  </si>
  <si>
    <t>21,750円</t>
  </si>
  <si>
    <t>25,500円</t>
  </si>
  <si>
    <t>24,500円</t>
  </si>
  <si>
    <t>17,500円</t>
  </si>
  <si>
    <t>58,000円</t>
  </si>
  <si>
    <t>52,000円</t>
  </si>
  <si>
    <t>32,000円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</si>
</sst>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"/>
  <sheetViews>
    <sheetView workbookViewId="0"/>
  </sheetViews>
  <sheetFormatPr defaultRowHeight="18.75"/>
  <cols>
    <col min="2" max="2" width="20.125" bestFit="1" customWidth="1"/>
    <col min="3" max="3" width="9.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2" t="s">
        <v>1</v>
      </c>
      <c r="B2" s="4" t="s">
        <v>4</v>
      </c>
      <c r="C2" s="2" t="s">
        <v>3</v>
      </c>
    </row>
    <row r="3" spans="1:3">
      <c r="A3" s="4">
        <v>2</v>
      </c>
      <c r="B3" s="4" t="s">
        <v>21</v>
      </c>
      <c r="C3" s="4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0FBC-0D61-4DFC-A9FE-EF1C7CD97D70}">
  <sheetPr codeName="Sheet2"/>
  <dimension ref="A1:E8"/>
  <sheetViews>
    <sheetView workbookViewId="0"/>
  </sheetViews>
  <sheetFormatPr defaultRowHeight="18.75"/>
  <cols>
    <col min="1" max="1" width="3.125" bestFit="1" customWidth="1"/>
    <col min="2" max="2" width="22.5" bestFit="1" customWidth="1"/>
    <col min="3" max="3" width="9.875" bestFit="1" customWidth="1"/>
    <col min="4" max="4" width="44.875" customWidth="1"/>
    <col min="5" max="5" width="44.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 s="2" t="s">
        <v>1</v>
      </c>
      <c r="B2" s="3"/>
      <c r="C2" s="2" t="s">
        <v>7</v>
      </c>
      <c r="D2" s="3" t="s">
        <v>18</v>
      </c>
      <c r="E2" s="3"/>
    </row>
    <row r="3" spans="1:5">
      <c r="A3" s="2" t="s">
        <v>8</v>
      </c>
      <c r="B3" s="3" t="s">
        <v>4</v>
      </c>
      <c r="C3" s="2"/>
      <c r="D3" s="3"/>
      <c r="E3" s="3" t="s">
        <v>18</v>
      </c>
    </row>
    <row r="4" spans="1:5">
      <c r="A4" s="2" t="s">
        <v>9</v>
      </c>
      <c r="B4" s="3"/>
      <c r="C4" s="2"/>
      <c r="D4" s="3" t="s">
        <v>18</v>
      </c>
      <c r="E4" s="3" t="s">
        <v>18</v>
      </c>
    </row>
    <row r="5" spans="1:5">
      <c r="A5" s="2" t="s">
        <v>10</v>
      </c>
      <c r="B5" s="3" t="s">
        <v>14</v>
      </c>
      <c r="C5" s="2"/>
      <c r="D5" s="3" t="s">
        <v>19</v>
      </c>
      <c r="E5" s="3" t="s">
        <v>18</v>
      </c>
    </row>
    <row r="6" spans="1:5">
      <c r="A6" s="2" t="s">
        <v>11</v>
      </c>
      <c r="B6" s="3" t="s">
        <v>15</v>
      </c>
      <c r="C6" s="2" t="s">
        <v>16</v>
      </c>
      <c r="D6" s="3" t="s">
        <v>20</v>
      </c>
      <c r="E6" s="3" t="s">
        <v>20</v>
      </c>
    </row>
    <row r="7" spans="1:5">
      <c r="A7" s="2" t="s">
        <v>12</v>
      </c>
      <c r="B7" s="3" t="s">
        <v>4</v>
      </c>
      <c r="C7" s="2" t="s">
        <v>22</v>
      </c>
      <c r="D7" s="3" t="s">
        <v>20</v>
      </c>
      <c r="E7" s="3" t="s">
        <v>20</v>
      </c>
    </row>
    <row r="8" spans="1:5">
      <c r="A8" s="2" t="s">
        <v>13</v>
      </c>
      <c r="B8" s="3" t="s">
        <v>15</v>
      </c>
      <c r="C8" s="2" t="s">
        <v>17</v>
      </c>
      <c r="D8" s="3" t="s">
        <v>20</v>
      </c>
      <c r="E8" s="3" t="s"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B475-2D4E-49E3-990F-4AAABE6BA4CD}">
  <sheetPr codeName="Sheet3"/>
  <dimension ref="A1:F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9.75" style="5" customWidth="1"/>
    <col min="6" max="6" width="14.75" style="5" bestFit="1" customWidth="1"/>
    <col min="7" max="16384" width="9" style="5"/>
  </cols>
  <sheetData>
    <row r="1" spans="1:6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</row>
    <row r="2" spans="1:6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8225-071A-4BD3-82F4-D7B2743C1633}">
  <sheetPr codeName="Sheet4"/>
  <dimension ref="A1:D5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10.875" style="5" bestFit="1" customWidth="1"/>
    <col min="4" max="4" width="12.875" style="5" bestFit="1" customWidth="1"/>
    <col min="5" max="16384" width="9" style="5"/>
  </cols>
  <sheetData>
    <row r="1" spans="1:4">
      <c r="A1" s="1" t="s">
        <v>0</v>
      </c>
      <c r="B1" s="1" t="s">
        <v>2</v>
      </c>
      <c r="C1" s="1" t="s">
        <v>3</v>
      </c>
      <c r="D1" s="1" t="s">
        <v>23</v>
      </c>
    </row>
    <row r="2" spans="1:4">
      <c r="A2" s="2" t="s">
        <v>1</v>
      </c>
      <c r="B2" s="4" t="s">
        <v>33</v>
      </c>
      <c r="C2" s="4" t="s">
        <v>32</v>
      </c>
      <c r="D2" s="4" t="s">
        <v>24</v>
      </c>
    </row>
    <row r="3" spans="1:4">
      <c r="A3" s="4">
        <v>2</v>
      </c>
      <c r="B3" s="4" t="s">
        <v>33</v>
      </c>
      <c r="C3" s="4" t="s">
        <v>32</v>
      </c>
      <c r="D3" s="4" t="s">
        <v>25</v>
      </c>
    </row>
    <row r="4" spans="1:4">
      <c r="A4" s="4">
        <v>3</v>
      </c>
      <c r="B4" s="4" t="s">
        <v>33</v>
      </c>
      <c r="C4" s="4" t="s">
        <v>32</v>
      </c>
      <c r="D4" s="4" t="s">
        <v>26</v>
      </c>
    </row>
    <row r="5" spans="1:4">
      <c r="A5" s="4">
        <v>4</v>
      </c>
      <c r="B5" s="4" t="s">
        <v>33</v>
      </c>
      <c r="C5" s="4" t="s">
        <v>32</v>
      </c>
      <c r="D5" s="4" t="s">
        <v>27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520D-1CD0-4BB8-AE93-51DA9F87BCB0}">
  <sheetPr codeName="Sheet5"/>
  <dimension ref="A1:K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9.75" style="5" customWidth="1"/>
    <col min="6" max="6" width="14.75" style="5" bestFit="1" customWidth="1"/>
    <col min="7" max="7" width="9" style="5"/>
    <col min="8" max="8" width="12.75" style="5" bestFit="1" customWidth="1"/>
    <col min="9" max="9" width="9" style="5"/>
    <col min="10" max="10" width="11.375" style="5" bestFit="1" customWidth="1"/>
    <col min="11" max="11" width="11.25" style="5" bestFit="1" customWidth="1"/>
    <col min="12" max="16384" width="9" style="5"/>
  </cols>
  <sheetData>
    <row r="1" spans="1:11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</row>
    <row r="2" spans="1:11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6895-6CC0-4884-9D2D-950D385B4DC8}">
  <sheetPr codeName="Sheet7"/>
  <dimension ref="A1:Q18"/>
  <sheetViews>
    <sheetView workbookViewId="0"/>
  </sheetViews>
  <sheetFormatPr defaultColWidth="9" defaultRowHeight="18.75"/>
  <cols>
    <col min="1" max="1" width="9" style="5"/>
    <col min="2" max="2" width="45" style="5" bestFit="1" customWidth="1"/>
    <col min="3" max="4" width="32.5" style="5" bestFit="1" customWidth="1"/>
    <col min="5" max="5" width="33.625" style="5" bestFit="1" customWidth="1"/>
    <col min="6" max="6" width="14.75" style="5" bestFit="1" customWidth="1"/>
    <col min="7" max="7" width="33.625" style="5" bestFit="1" customWidth="1"/>
    <col min="8" max="8" width="15" style="5" bestFit="1" customWidth="1"/>
    <col min="9" max="9" width="9" style="5"/>
    <col min="10" max="10" width="11.375" style="5" bestFit="1" customWidth="1"/>
    <col min="11" max="11" width="11.25" style="5" bestFit="1" customWidth="1"/>
    <col min="12" max="12" width="42.125" style="5" bestFit="1" customWidth="1"/>
    <col min="13" max="15" width="35.5" style="5" bestFit="1" customWidth="1"/>
    <col min="16" max="16" width="39.625" style="5" bestFit="1" customWidth="1"/>
    <col min="17" max="17" width="29.375" style="5" bestFit="1" customWidth="1"/>
    <col min="18" max="16384" width="9" style="5"/>
  </cols>
  <sheetData>
    <row r="1" spans="1:17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  <c r="L1" s="1" t="s">
        <v>57</v>
      </c>
      <c r="M1" s="1" t="s">
        <v>6</v>
      </c>
      <c r="N1" s="1" t="s">
        <v>58</v>
      </c>
      <c r="O1" s="1" t="s">
        <v>59</v>
      </c>
      <c r="P1" s="6" t="s">
        <v>60</v>
      </c>
      <c r="Q1" s="6" t="s">
        <v>61</v>
      </c>
    </row>
    <row r="2" spans="1:17">
      <c r="A2" s="2" t="s">
        <v>1</v>
      </c>
      <c r="B2" s="4"/>
      <c r="C2" s="4" t="s">
        <v>32</v>
      </c>
      <c r="D2" s="4" t="s">
        <v>32</v>
      </c>
      <c r="E2" s="4" t="s">
        <v>114</v>
      </c>
      <c r="F2" s="4" t="s">
        <v>30</v>
      </c>
      <c r="G2" s="4" t="s">
        <v>50</v>
      </c>
      <c r="H2" s="4" t="s">
        <v>50</v>
      </c>
      <c r="I2" s="4" t="s">
        <v>50</v>
      </c>
      <c r="J2" s="4"/>
      <c r="K2" s="4" t="s">
        <v>50</v>
      </c>
      <c r="L2" s="4" t="s">
        <v>18</v>
      </c>
      <c r="M2" s="4"/>
      <c r="N2" s="4"/>
      <c r="O2" s="4"/>
      <c r="P2" s="4"/>
      <c r="Q2" s="4"/>
    </row>
    <row r="3" spans="1:17">
      <c r="A3" s="2" t="s">
        <v>8</v>
      </c>
      <c r="B3" s="4" t="s">
        <v>33</v>
      </c>
      <c r="C3" s="4"/>
      <c r="D3" s="4" t="s">
        <v>32</v>
      </c>
      <c r="E3" s="4" t="s">
        <v>114</v>
      </c>
      <c r="F3" s="4" t="s">
        <v>30</v>
      </c>
      <c r="G3" s="4" t="s">
        <v>50</v>
      </c>
      <c r="H3" s="4" t="s">
        <v>50</v>
      </c>
      <c r="I3" s="4" t="s">
        <v>50</v>
      </c>
      <c r="J3" s="4"/>
      <c r="K3" s="4" t="s">
        <v>50</v>
      </c>
      <c r="L3" s="4"/>
      <c r="M3" s="4" t="s">
        <v>18</v>
      </c>
      <c r="N3" s="4"/>
      <c r="O3" s="4"/>
      <c r="P3" s="4"/>
      <c r="Q3" s="4"/>
    </row>
    <row r="4" spans="1:17">
      <c r="A4" s="2" t="s">
        <v>9</v>
      </c>
      <c r="B4" s="4" t="s">
        <v>33</v>
      </c>
      <c r="C4" s="4" t="s">
        <v>32</v>
      </c>
      <c r="D4" s="4"/>
      <c r="E4" s="4" t="s">
        <v>114</v>
      </c>
      <c r="F4" s="4" t="s">
        <v>30</v>
      </c>
      <c r="G4" s="4" t="s">
        <v>50</v>
      </c>
      <c r="H4" s="4" t="s">
        <v>50</v>
      </c>
      <c r="I4" s="4" t="s">
        <v>50</v>
      </c>
      <c r="J4" s="4"/>
      <c r="K4" s="4" t="s">
        <v>50</v>
      </c>
      <c r="L4" s="3"/>
      <c r="M4" s="4"/>
      <c r="N4" s="4" t="s">
        <v>18</v>
      </c>
      <c r="O4" s="4"/>
      <c r="P4" s="4"/>
      <c r="Q4" s="4"/>
    </row>
    <row r="5" spans="1:17">
      <c r="A5" s="2" t="s">
        <v>68</v>
      </c>
      <c r="B5" s="4" t="s">
        <v>33</v>
      </c>
      <c r="C5" s="4" t="s">
        <v>32</v>
      </c>
      <c r="D5" s="4" t="s">
        <v>32</v>
      </c>
      <c r="E5" s="4"/>
      <c r="F5" s="4" t="s">
        <v>30</v>
      </c>
      <c r="G5" s="4" t="s">
        <v>50</v>
      </c>
      <c r="H5" s="4" t="s">
        <v>50</v>
      </c>
      <c r="I5" s="4" t="s">
        <v>50</v>
      </c>
      <c r="J5" s="4"/>
      <c r="K5" s="4" t="s">
        <v>50</v>
      </c>
      <c r="L5" s="3"/>
      <c r="M5" s="4"/>
      <c r="N5" s="4"/>
      <c r="O5" s="4" t="s">
        <v>18</v>
      </c>
      <c r="P5" s="4"/>
      <c r="Q5" s="4"/>
    </row>
    <row r="6" spans="1:17">
      <c r="A6" s="2" t="s">
        <v>11</v>
      </c>
      <c r="B6" s="4" t="s">
        <v>115</v>
      </c>
      <c r="C6" s="4" t="s">
        <v>32</v>
      </c>
      <c r="D6" s="4" t="s">
        <v>32</v>
      </c>
      <c r="E6" s="4" t="s">
        <v>114</v>
      </c>
      <c r="F6" s="4" t="s">
        <v>30</v>
      </c>
      <c r="G6" s="4" t="s">
        <v>50</v>
      </c>
      <c r="H6" s="4" t="s">
        <v>50</v>
      </c>
      <c r="I6" s="4" t="s">
        <v>50</v>
      </c>
      <c r="J6" s="4"/>
      <c r="K6" s="4" t="s">
        <v>50</v>
      </c>
      <c r="L6" s="4" t="s">
        <v>116</v>
      </c>
      <c r="M6" s="4"/>
      <c r="N6" s="4"/>
      <c r="O6" s="4"/>
      <c r="P6" s="4"/>
      <c r="Q6" s="4"/>
    </row>
    <row r="7" spans="1:17">
      <c r="A7" s="2" t="s">
        <v>12</v>
      </c>
      <c r="B7" s="4" t="s">
        <v>33</v>
      </c>
      <c r="C7" s="4" t="s">
        <v>117</v>
      </c>
      <c r="D7" s="4" t="s">
        <v>32</v>
      </c>
      <c r="E7" s="4" t="s">
        <v>114</v>
      </c>
      <c r="F7" s="4" t="s">
        <v>30</v>
      </c>
      <c r="G7" s="4" t="s">
        <v>50</v>
      </c>
      <c r="H7" s="4" t="s">
        <v>50</v>
      </c>
      <c r="I7" s="4" t="s">
        <v>50</v>
      </c>
      <c r="J7" s="4"/>
      <c r="K7" s="4" t="s">
        <v>50</v>
      </c>
      <c r="L7" s="4"/>
      <c r="M7" s="4" t="s">
        <v>118</v>
      </c>
      <c r="N7" s="4"/>
      <c r="O7" s="4"/>
      <c r="P7" s="4"/>
      <c r="Q7" s="4"/>
    </row>
    <row r="8" spans="1:17">
      <c r="A8" s="2" t="s">
        <v>13</v>
      </c>
      <c r="B8" s="4" t="s">
        <v>33</v>
      </c>
      <c r="C8" s="4" t="s">
        <v>32</v>
      </c>
      <c r="D8" s="4" t="s">
        <v>117</v>
      </c>
      <c r="E8" s="4" t="s">
        <v>114</v>
      </c>
      <c r="F8" s="4" t="s">
        <v>30</v>
      </c>
      <c r="G8" s="4" t="s">
        <v>50</v>
      </c>
      <c r="H8" s="4" t="s">
        <v>50</v>
      </c>
      <c r="I8" s="4" t="s">
        <v>50</v>
      </c>
      <c r="J8" s="4"/>
      <c r="K8" s="4" t="s">
        <v>50</v>
      </c>
      <c r="L8" s="4"/>
      <c r="M8" s="4"/>
      <c r="N8" s="4" t="s">
        <v>69</v>
      </c>
      <c r="O8" s="4"/>
      <c r="P8" s="4"/>
      <c r="Q8" s="4"/>
    </row>
    <row r="9" spans="1:17">
      <c r="A9" s="2" t="s">
        <v>109</v>
      </c>
      <c r="B9" s="4" t="s">
        <v>33</v>
      </c>
      <c r="C9" s="4" t="s">
        <v>32</v>
      </c>
      <c r="D9" s="4" t="s">
        <v>32</v>
      </c>
      <c r="E9" s="4" t="s">
        <v>114</v>
      </c>
      <c r="F9" s="4" t="s">
        <v>30</v>
      </c>
      <c r="G9" s="4" t="s">
        <v>50</v>
      </c>
      <c r="H9" s="4" t="s">
        <v>62</v>
      </c>
      <c r="I9" s="4" t="s">
        <v>50</v>
      </c>
      <c r="J9" s="4"/>
      <c r="K9" s="4" t="s">
        <v>50</v>
      </c>
      <c r="L9" s="4"/>
      <c r="M9" s="4"/>
      <c r="N9" s="4"/>
      <c r="O9" s="4"/>
      <c r="P9" s="4" t="s">
        <v>63</v>
      </c>
      <c r="Q9" s="4"/>
    </row>
    <row r="10" spans="1:17">
      <c r="A10" s="2" t="s">
        <v>110</v>
      </c>
      <c r="B10" s="4" t="s">
        <v>33</v>
      </c>
      <c r="C10" s="4" t="s">
        <v>32</v>
      </c>
      <c r="D10" s="4" t="s">
        <v>32</v>
      </c>
      <c r="E10" s="4" t="s">
        <v>114</v>
      </c>
      <c r="F10" s="4" t="s">
        <v>30</v>
      </c>
      <c r="G10" s="4" t="s">
        <v>50</v>
      </c>
      <c r="H10" s="4" t="s">
        <v>119</v>
      </c>
      <c r="I10" s="4" t="s">
        <v>50</v>
      </c>
      <c r="J10" s="4"/>
      <c r="K10" s="4" t="s">
        <v>50</v>
      </c>
      <c r="L10" s="4"/>
      <c r="M10" s="4"/>
      <c r="N10" s="4"/>
      <c r="O10" s="4"/>
      <c r="P10" s="4" t="s">
        <v>63</v>
      </c>
      <c r="Q10" s="4"/>
    </row>
    <row r="11" spans="1:17">
      <c r="A11" s="2" t="s">
        <v>111</v>
      </c>
      <c r="B11" s="4" t="s">
        <v>33</v>
      </c>
      <c r="C11" s="4" t="s">
        <v>32</v>
      </c>
      <c r="D11" s="4" t="s">
        <v>32</v>
      </c>
      <c r="E11" s="4" t="s">
        <v>114</v>
      </c>
      <c r="F11" s="4" t="s">
        <v>30</v>
      </c>
      <c r="G11" s="4" t="s">
        <v>50</v>
      </c>
      <c r="H11" s="4" t="s">
        <v>120</v>
      </c>
      <c r="I11" s="4" t="s">
        <v>50</v>
      </c>
      <c r="J11" s="4"/>
      <c r="K11" s="4" t="s">
        <v>50</v>
      </c>
      <c r="L11" s="4"/>
      <c r="M11" s="4"/>
      <c r="N11" s="4"/>
      <c r="O11" s="4"/>
      <c r="P11" s="4" t="s">
        <v>63</v>
      </c>
      <c r="Q11" s="4"/>
    </row>
    <row r="12" spans="1:17">
      <c r="A12" s="2" t="s">
        <v>112</v>
      </c>
      <c r="B12" s="4" t="s">
        <v>33</v>
      </c>
      <c r="C12" s="4" t="s">
        <v>32</v>
      </c>
      <c r="D12" s="4" t="s">
        <v>32</v>
      </c>
      <c r="E12" s="4" t="s">
        <v>114</v>
      </c>
      <c r="F12" s="4" t="s">
        <v>30</v>
      </c>
      <c r="G12" s="4" t="s">
        <v>50</v>
      </c>
      <c r="H12" s="4" t="s">
        <v>50</v>
      </c>
      <c r="I12" s="4" t="s">
        <v>50</v>
      </c>
      <c r="J12" s="4" t="s">
        <v>70</v>
      </c>
      <c r="K12" s="4" t="s">
        <v>50</v>
      </c>
      <c r="L12" s="4"/>
      <c r="M12" s="4"/>
      <c r="N12" s="4"/>
      <c r="O12" s="4"/>
      <c r="P12" s="4"/>
      <c r="Q12" s="4" t="s">
        <v>64</v>
      </c>
    </row>
    <row r="13" spans="1:17">
      <c r="A13" s="2" t="s">
        <v>95</v>
      </c>
      <c r="B13" t="s">
        <v>4</v>
      </c>
      <c r="C13" s="4" t="s">
        <v>32</v>
      </c>
      <c r="D13" s="4" t="s">
        <v>32</v>
      </c>
      <c r="E13" s="4" t="s">
        <v>114</v>
      </c>
      <c r="F13" s="4" t="s">
        <v>30</v>
      </c>
      <c r="G13" s="4" t="s">
        <v>50</v>
      </c>
      <c r="H13" s="4" t="s">
        <v>50</v>
      </c>
      <c r="I13" s="4" t="s">
        <v>50</v>
      </c>
      <c r="J13" s="4"/>
      <c r="K13" s="4" t="s">
        <v>50</v>
      </c>
      <c r="L13" s="4" t="s">
        <v>121</v>
      </c>
      <c r="M13" s="4"/>
      <c r="N13" s="4"/>
      <c r="O13" s="4"/>
      <c r="P13" s="4"/>
      <c r="Q13" s="4"/>
    </row>
    <row r="14" spans="1:17">
      <c r="A14" s="2" t="s">
        <v>97</v>
      </c>
      <c r="B14" s="4" t="s">
        <v>33</v>
      </c>
      <c r="C14" s="4" t="s">
        <v>32</v>
      </c>
      <c r="D14" s="4" t="s">
        <v>122</v>
      </c>
      <c r="E14" s="4" t="s">
        <v>114</v>
      </c>
      <c r="F14" s="4" t="s">
        <v>30</v>
      </c>
      <c r="G14" s="4" t="s">
        <v>50</v>
      </c>
      <c r="H14" s="4" t="s">
        <v>50</v>
      </c>
      <c r="I14" s="4" t="s">
        <v>50</v>
      </c>
      <c r="J14" s="4"/>
      <c r="K14" s="4" t="s">
        <v>50</v>
      </c>
      <c r="L14" s="4"/>
      <c r="M14" s="4"/>
      <c r="N14" s="4" t="s">
        <v>123</v>
      </c>
      <c r="O14" s="4"/>
      <c r="P14" s="4"/>
      <c r="Q14" s="4"/>
    </row>
    <row r="15" spans="1:17">
      <c r="A15" s="2" t="s">
        <v>98</v>
      </c>
      <c r="B15" s="4" t="s">
        <v>65</v>
      </c>
      <c r="C15" s="4" t="s">
        <v>32</v>
      </c>
      <c r="D15" s="4" t="s">
        <v>32</v>
      </c>
      <c r="E15" s="4" t="s">
        <v>114</v>
      </c>
      <c r="F15" s="4" t="s">
        <v>30</v>
      </c>
      <c r="G15" s="4" t="s">
        <v>50</v>
      </c>
      <c r="H15" s="4" t="s">
        <v>62</v>
      </c>
      <c r="I15" s="4" t="s">
        <v>50</v>
      </c>
      <c r="J15" s="4"/>
      <c r="K15" s="4" t="s">
        <v>50</v>
      </c>
      <c r="L15" s="4"/>
      <c r="M15" s="4"/>
      <c r="N15" s="4"/>
      <c r="O15" s="4"/>
      <c r="P15" s="4" t="s">
        <v>63</v>
      </c>
      <c r="Q15" s="4"/>
    </row>
    <row r="16" spans="1:17">
      <c r="A16" s="2" t="s">
        <v>99</v>
      </c>
      <c r="B16" s="4" t="s">
        <v>33</v>
      </c>
      <c r="C16" s="4" t="s">
        <v>66</v>
      </c>
      <c r="D16" s="4" t="s">
        <v>66</v>
      </c>
      <c r="E16" s="4" t="s">
        <v>114</v>
      </c>
      <c r="F16" s="4" t="s">
        <v>30</v>
      </c>
      <c r="G16" s="4" t="s">
        <v>50</v>
      </c>
      <c r="H16" s="4" t="s">
        <v>62</v>
      </c>
      <c r="I16" s="4" t="s">
        <v>50</v>
      </c>
      <c r="J16" s="4"/>
      <c r="K16" s="4" t="s">
        <v>50</v>
      </c>
      <c r="L16" s="4"/>
      <c r="M16" s="4"/>
      <c r="N16" s="4"/>
      <c r="O16" s="4"/>
      <c r="P16" s="4" t="s">
        <v>63</v>
      </c>
      <c r="Q16" s="4"/>
    </row>
    <row r="17" spans="1:17">
      <c r="A17" s="2" t="s">
        <v>100</v>
      </c>
      <c r="B17" s="4" t="s">
        <v>33</v>
      </c>
      <c r="C17" s="4" t="s">
        <v>32</v>
      </c>
      <c r="D17" s="4" t="s">
        <v>32</v>
      </c>
      <c r="E17" s="4" t="s">
        <v>67</v>
      </c>
      <c r="F17" s="4" t="s">
        <v>30</v>
      </c>
      <c r="G17" s="4" t="s">
        <v>50</v>
      </c>
      <c r="H17" s="4" t="s">
        <v>62</v>
      </c>
      <c r="I17" s="4" t="s">
        <v>50</v>
      </c>
      <c r="J17" s="4"/>
      <c r="K17" s="4" t="s">
        <v>50</v>
      </c>
      <c r="L17" s="4"/>
      <c r="M17" s="4"/>
      <c r="N17" s="4"/>
      <c r="O17" s="4"/>
      <c r="P17" s="4" t="s">
        <v>63</v>
      </c>
      <c r="Q17" s="4"/>
    </row>
    <row r="18" spans="1:17">
      <c r="A18" s="2" t="s">
        <v>113</v>
      </c>
      <c r="B18" s="4" t="s">
        <v>33</v>
      </c>
      <c r="C18" s="4" t="s">
        <v>32</v>
      </c>
      <c r="D18" s="4" t="s">
        <v>32</v>
      </c>
      <c r="E18" s="4" t="s">
        <v>114</v>
      </c>
      <c r="F18" s="4" t="s">
        <v>30</v>
      </c>
      <c r="G18" s="4" t="s">
        <v>67</v>
      </c>
      <c r="H18" s="4" t="s">
        <v>62</v>
      </c>
      <c r="I18" s="4" t="s">
        <v>50</v>
      </c>
      <c r="J18" s="4"/>
      <c r="K18" s="4" t="s">
        <v>50</v>
      </c>
      <c r="L18" s="4"/>
      <c r="M18" s="4"/>
      <c r="N18" s="4"/>
      <c r="O18" s="4"/>
      <c r="P18" s="4" t="s">
        <v>63</v>
      </c>
      <c r="Q18" s="4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007C-ABFA-4327-B91C-8A9F77291068}">
  <sheetPr codeName="Sheet6"/>
  <dimension ref="A1:S3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7" width="9" style="5"/>
    <col min="8" max="8" width="12.75" style="5" bestFit="1" customWidth="1"/>
    <col min="9" max="9" width="9" style="5"/>
    <col min="10" max="10" width="11.375" style="5" bestFit="1" customWidth="1"/>
    <col min="11" max="11" width="11.25" style="5" bestFit="1" customWidth="1"/>
    <col min="12" max="12" width="23.75" style="5" bestFit="1" customWidth="1"/>
    <col min="13" max="13" width="16.75" style="5" bestFit="1" customWidth="1"/>
    <col min="14" max="14" width="14.75" style="5" bestFit="1" customWidth="1"/>
    <col min="15" max="15" width="15" style="5" bestFit="1" customWidth="1"/>
    <col min="16" max="16" width="12.75" style="5" bestFit="1" customWidth="1"/>
    <col min="17" max="17" width="13.875" style="5" bestFit="1" customWidth="1"/>
    <col min="18" max="18" width="15.125" style="5" bestFit="1" customWidth="1"/>
    <col min="19" max="19" width="18" style="5" bestFit="1" customWidth="1"/>
    <col min="20" max="16384" width="9" style="5"/>
  </cols>
  <sheetData>
    <row r="1" spans="1:19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  <c r="L1" s="6" t="s">
        <v>51</v>
      </c>
      <c r="M1" s="6" t="s">
        <v>43</v>
      </c>
      <c r="N1" s="6" t="s">
        <v>52</v>
      </c>
      <c r="O1" s="6" t="s">
        <v>53</v>
      </c>
      <c r="P1" s="6" t="s">
        <v>54</v>
      </c>
      <c r="Q1" s="6" t="s">
        <v>55</v>
      </c>
      <c r="R1" s="6" t="s">
        <v>56</v>
      </c>
      <c r="S1" s="6" t="s">
        <v>88</v>
      </c>
    </row>
    <row r="2" spans="1:19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45</v>
      </c>
      <c r="L2" s="4" t="str">
        <f>$B2</f>
        <v>TesttesT@example.com</v>
      </c>
      <c r="M2" s="4" t="str">
        <f>$E2</f>
        <v>廣島史也</v>
      </c>
      <c r="N2" s="4" t="str">
        <f>$F2</f>
        <v>プレミアム会員</v>
      </c>
      <c r="O2" s="3" t="str">
        <f>IF(COUNTIF(G2,"*ignore*"),"未登録",G2)</f>
        <v>札幌</v>
      </c>
      <c r="P2" s="3" t="str">
        <f t="shared" ref="P2:Q2" si="0">IF(COUNTIF(H2,"*ignore*"),"未登録",H2)</f>
        <v>01208288281</v>
      </c>
      <c r="Q2" s="3" t="str">
        <f t="shared" si="0"/>
        <v>男性</v>
      </c>
      <c r="R2" s="3" t="str">
        <f>IF(COUNTIF(J2,"*ignore*"),"未登録",TEXT(DATEVALUE(J2),"yyyy年m月d日"))</f>
        <v>2001年2月10日</v>
      </c>
      <c r="S2" s="3" t="str">
        <f>IF(COUNTIF(K2,"ON"),"受け取る","受け取らない")</f>
        <v>受け取る</v>
      </c>
    </row>
    <row r="3" spans="1:19">
      <c r="A3" s="2" t="s">
        <v>8</v>
      </c>
      <c r="B3" s="4" t="s">
        <v>35</v>
      </c>
      <c r="C3" s="4" t="s">
        <v>36</v>
      </c>
      <c r="D3" s="4" t="s">
        <v>36</v>
      </c>
      <c r="E3" s="4" t="s">
        <v>38</v>
      </c>
      <c r="F3" s="4" t="s">
        <v>37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tr">
        <f>$B3</f>
        <v>Testdesu@example.com</v>
      </c>
      <c r="M3" s="4" t="str">
        <f>$E3</f>
        <v>テスト太郎</v>
      </c>
      <c r="N3" s="4" t="str">
        <f>$F3</f>
        <v>一般会員</v>
      </c>
      <c r="O3" s="3" t="str">
        <f>IF(COUNTIF(G3,"*ignore*"),"未登録",G3)</f>
        <v>未登録</v>
      </c>
      <c r="P3" s="3" t="str">
        <f t="shared" ref="P3" si="1">IF(COUNTIF(H3,"*ignore*"),"未登録",H3)</f>
        <v>未登録</v>
      </c>
      <c r="Q3" s="3" t="str">
        <f t="shared" ref="Q3" si="2">IF(COUNTIF(I3,"*ignore*"),"未登録",I3)</f>
        <v>未登録</v>
      </c>
      <c r="R3" s="3" t="str">
        <f>IF(COUNTIF(J3,"*ignore*"),"未登録",TEXT(DATEVALUE(J3),"yyyy年m月d日"))</f>
        <v>未登録</v>
      </c>
      <c r="S3" s="3" t="str">
        <f>IF(COUNTIF(K3,"ON"),"受け取る","受け取らない")</f>
        <v>受け取らない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373B-0624-4819-8329-1F07F2937CD1}">
  <sheetPr codeName="Sheet9"/>
  <dimension ref="A1:B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16384" width="9" style="5"/>
  </cols>
  <sheetData>
    <row r="1" spans="1:2" ht="19.5" customHeight="1">
      <c r="A1" s="1" t="s">
        <v>0</v>
      </c>
      <c r="B1" s="1" t="s">
        <v>71</v>
      </c>
    </row>
    <row r="2" spans="1:2">
      <c r="A2" s="2" t="s">
        <v>1</v>
      </c>
      <c r="B2" s="4" t="s">
        <v>72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5E8A-728B-4761-902B-9FD7D3E41E4E}">
  <sheetPr codeName="Sheet8"/>
  <dimension ref="A1:K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16384" width="9" style="5"/>
  </cols>
  <sheetData>
    <row r="1" spans="1:11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</row>
    <row r="2" spans="1:11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367C-1D5D-4DB0-B7AF-EAFAEFF19813}">
  <sheetPr codeName="Sheet10"/>
  <dimension ref="A1:B5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16384" width="9" style="5"/>
  </cols>
  <sheetData>
    <row r="1" spans="1:2">
      <c r="A1" s="1" t="s">
        <v>0</v>
      </c>
      <c r="B1" s="1" t="s">
        <v>71</v>
      </c>
    </row>
    <row r="2" spans="1:2">
      <c r="A2" s="2" t="s">
        <v>1</v>
      </c>
      <c r="B2" s="4" t="s">
        <v>72</v>
      </c>
    </row>
    <row r="3" spans="1:2">
      <c r="A3" s="4" t="s">
        <v>8</v>
      </c>
      <c r="B3" s="4" t="s">
        <v>73</v>
      </c>
    </row>
    <row r="4" spans="1:2">
      <c r="A4" s="4" t="s">
        <v>9</v>
      </c>
      <c r="B4" s="4" t="s">
        <v>74</v>
      </c>
    </row>
    <row r="5" spans="1:2">
      <c r="A5" s="4" t="s">
        <v>68</v>
      </c>
      <c r="B5" s="4" t="s">
        <v>75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CCE9-D48A-442A-9D28-5C80E1334E23}">
  <sheetPr codeName="Sheet11"/>
  <dimension ref="A1:K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16384" width="9" style="5"/>
  </cols>
  <sheetData>
    <row r="1" spans="1:11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</row>
    <row r="2" spans="1:11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4F6C-73B0-44C8-877B-C7ABEA75BC7A}">
  <sheetPr codeName="Sheet12"/>
  <dimension ref="A1:C4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42.5" style="5" bestFit="1" customWidth="1"/>
    <col min="4" max="16384" width="9" style="5"/>
  </cols>
  <sheetData>
    <row r="1" spans="1:3" ht="19.5" customHeight="1">
      <c r="A1" s="1" t="s">
        <v>0</v>
      </c>
      <c r="B1" s="1" t="s">
        <v>71</v>
      </c>
      <c r="C1" s="6" t="s">
        <v>80</v>
      </c>
    </row>
    <row r="2" spans="1:3">
      <c r="A2" s="2" t="s">
        <v>1</v>
      </c>
      <c r="B2" s="4"/>
      <c r="C2" s="4" t="s">
        <v>18</v>
      </c>
    </row>
    <row r="3" spans="1:3">
      <c r="A3" s="4" t="s">
        <v>8</v>
      </c>
      <c r="B3" s="4" t="s">
        <v>78</v>
      </c>
      <c r="C3" s="4" t="s">
        <v>76</v>
      </c>
    </row>
    <row r="4" spans="1:3">
      <c r="A4" s="4" t="s">
        <v>9</v>
      </c>
      <c r="B4" s="4" t="s">
        <v>79</v>
      </c>
      <c r="C4" s="4" t="s">
        <v>77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A77C-B269-4FA0-8E73-7860E0333A06}">
  <sheetPr codeName="Sheet13"/>
  <dimension ref="A1:K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16384" width="9" style="5"/>
  </cols>
  <sheetData>
    <row r="1" spans="1:11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</row>
    <row r="2" spans="1:11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5E8A-7C71-49B0-803B-596140772D32}">
  <sheetPr codeName="Sheet14"/>
  <dimension ref="A1:B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16384" width="9" style="5"/>
  </cols>
  <sheetData>
    <row r="1" spans="1:2" ht="19.5" customHeight="1">
      <c r="A1" s="1" t="s">
        <v>0</v>
      </c>
      <c r="B1" s="1" t="s">
        <v>71</v>
      </c>
    </row>
    <row r="2" spans="1:2">
      <c r="A2" s="2" t="s">
        <v>1</v>
      </c>
      <c r="B2" s="4" t="s">
        <v>72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3E20-8D43-4BF7-BC51-50CDEEED0CC5}">
  <sheetPr codeName="Sheet15"/>
  <dimension ref="A1:C3"/>
  <sheetViews>
    <sheetView workbookViewId="0"/>
  </sheetViews>
  <sheetFormatPr defaultColWidth="9" defaultRowHeight="18.75"/>
  <cols>
    <col min="1" max="2" width="9" style="5"/>
    <col min="3" max="3" width="29.625" style="5" bestFit="1" customWidth="1"/>
    <col min="4" max="16384" width="9" style="5"/>
  </cols>
  <sheetData>
    <row r="1" spans="1:3">
      <c r="A1" s="1" t="s">
        <v>0</v>
      </c>
      <c r="B1" s="6" t="s">
        <v>82</v>
      </c>
      <c r="C1" s="6" t="s">
        <v>81</v>
      </c>
    </row>
    <row r="2" spans="1:3">
      <c r="A2" s="2" t="s">
        <v>1</v>
      </c>
      <c r="B2" s="4" t="s">
        <v>84</v>
      </c>
      <c r="C2" s="4" t="s">
        <v>86</v>
      </c>
    </row>
    <row r="3" spans="1:3">
      <c r="A3" s="4" t="s">
        <v>8</v>
      </c>
      <c r="B3" s="4" t="s">
        <v>83</v>
      </c>
      <c r="C3" s="4" t="s">
        <v>85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9D88-7669-4754-9192-2DB5FD241686}">
  <sheetPr codeName="Sheet16"/>
  <dimension ref="A1:U2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9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10" width="9" style="5"/>
    <col min="11" max="11" width="11.25" style="5" bestFit="1" customWidth="1"/>
    <col min="12" max="12" width="23.125" style="5" bestFit="1" customWidth="1"/>
    <col min="13" max="13" width="16.75" style="5" bestFit="1" customWidth="1"/>
    <col min="14" max="14" width="14.75" style="5" bestFit="1" customWidth="1"/>
    <col min="15" max="15" width="15" style="5" bestFit="1" customWidth="1"/>
    <col min="16" max="17" width="9" style="5"/>
    <col min="18" max="18" width="15.125" style="5" bestFit="1" customWidth="1"/>
    <col min="19" max="19" width="18" style="5" bestFit="1" customWidth="1"/>
    <col min="20" max="21" width="44.25" style="5" bestFit="1" customWidth="1"/>
    <col min="22" max="16384" width="9" style="5"/>
  </cols>
  <sheetData>
    <row r="1" spans="1:21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  <c r="L1" s="6" t="s">
        <v>51</v>
      </c>
      <c r="M1" s="6" t="s">
        <v>43</v>
      </c>
      <c r="N1" s="6" t="s">
        <v>52</v>
      </c>
      <c r="O1" s="6" t="s">
        <v>53</v>
      </c>
      <c r="P1" s="6" t="s">
        <v>54</v>
      </c>
      <c r="Q1" s="6" t="s">
        <v>55</v>
      </c>
      <c r="R1" s="6" t="s">
        <v>56</v>
      </c>
      <c r="S1" s="6" t="s">
        <v>88</v>
      </c>
      <c r="T1" s="1" t="s">
        <v>57</v>
      </c>
      <c r="U1" s="1" t="s">
        <v>6</v>
      </c>
    </row>
    <row r="2" spans="1:21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30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tr">
        <f>$B2</f>
        <v>TesttesT@example.com</v>
      </c>
      <c r="M2" s="4" t="str">
        <f>$E2</f>
        <v>廣島史也</v>
      </c>
      <c r="N2" s="4" t="str">
        <f>$F2</f>
        <v>プレミアム会員</v>
      </c>
      <c r="O2" s="3" t="str">
        <f>IF(COUNTIF(G2,"*ignore*"),"未登録",G2)</f>
        <v>未登録</v>
      </c>
      <c r="P2" s="3" t="str">
        <f t="shared" ref="P2" si="0">IF(COUNTIF(H2,"*ignore*"),"未登録",H2)</f>
        <v>未登録</v>
      </c>
      <c r="Q2" s="3" t="str">
        <f>IF(COUNTIF(I2,"*ignore*"),"未登録",I2)</f>
        <v>未登録</v>
      </c>
      <c r="R2" s="3" t="str">
        <f>IF(COUNTIF(J2,"*ignore*"),"未登録",TEXT(DATEVALUE(J2),"yyyy年m月d日"))</f>
        <v>未登録</v>
      </c>
      <c r="S2" s="3" t="str">
        <f>IF(COUNTIF(K2,"ON"),"受け取る","受け取らない")</f>
        <v>受け取らない</v>
      </c>
      <c r="T2" s="4" t="s">
        <v>87</v>
      </c>
      <c r="U2" s="4" t="s">
        <v>20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2224-6ED6-4CD5-9CD6-B5B881631A6D}">
  <dimension ref="A1:S17"/>
  <sheetViews>
    <sheetView workbookViewId="0"/>
  </sheetViews>
  <sheetFormatPr defaultColWidth="9" defaultRowHeight="18.75"/>
  <cols>
    <col min="1" max="1" width="9" style="5"/>
    <col min="2" max="2" width="23.125" style="5" bestFit="1" customWidth="1"/>
    <col min="3" max="3" width="10.875" style="5" bestFit="1" customWidth="1"/>
    <col min="4" max="4" width="22.75" style="5" bestFit="1" customWidth="1"/>
    <col min="5" max="5" width="11" style="5" bestFit="1" customWidth="1"/>
    <col min="6" max="6" width="14.75" style="5" bestFit="1" customWidth="1"/>
    <col min="7" max="11" width="14.75" style="5" customWidth="1"/>
    <col min="12" max="12" width="23.125" style="5" bestFit="1" customWidth="1"/>
    <col min="13" max="13" width="16.75" style="5" bestFit="1" customWidth="1"/>
    <col min="14" max="14" width="14.75" style="5" bestFit="1" customWidth="1"/>
    <col min="15" max="15" width="15" style="5" bestFit="1" customWidth="1"/>
    <col min="16" max="16" width="9" style="5"/>
    <col min="17" max="17" width="13.875" style="5" bestFit="1" customWidth="1"/>
    <col min="18" max="18" width="15.125" style="5" bestFit="1" customWidth="1"/>
    <col min="19" max="19" width="18" style="5" bestFit="1" customWidth="1"/>
    <col min="20" max="16384" width="9" style="5"/>
  </cols>
  <sheetData>
    <row r="1" spans="1:19">
      <c r="A1" s="1" t="s">
        <v>0</v>
      </c>
      <c r="B1" s="1" t="s">
        <v>2</v>
      </c>
      <c r="C1" s="1" t="s">
        <v>3</v>
      </c>
      <c r="D1" s="1" t="s">
        <v>34</v>
      </c>
      <c r="E1" s="1" t="s">
        <v>28</v>
      </c>
      <c r="F1" s="1" t="s">
        <v>29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44</v>
      </c>
      <c r="L1" s="6" t="s">
        <v>51</v>
      </c>
      <c r="M1" s="6" t="s">
        <v>43</v>
      </c>
      <c r="N1" s="6" t="s">
        <v>52</v>
      </c>
      <c r="O1" s="6" t="s">
        <v>53</v>
      </c>
      <c r="P1" s="6" t="s">
        <v>54</v>
      </c>
      <c r="Q1" s="6" t="s">
        <v>55</v>
      </c>
      <c r="R1" s="6" t="s">
        <v>56</v>
      </c>
      <c r="S1" s="6" t="s">
        <v>88</v>
      </c>
    </row>
    <row r="2" spans="1:19">
      <c r="A2" s="2" t="s">
        <v>1</v>
      </c>
      <c r="B2" s="4" t="s">
        <v>33</v>
      </c>
      <c r="C2" s="4" t="s">
        <v>32</v>
      </c>
      <c r="D2" s="4" t="s">
        <v>32</v>
      </c>
      <c r="E2" s="4" t="s">
        <v>31</v>
      </c>
      <c r="F2" s="4" t="s">
        <v>101</v>
      </c>
      <c r="G2" s="4" t="s">
        <v>50</v>
      </c>
      <c r="H2" s="4" t="s">
        <v>50</v>
      </c>
      <c r="I2" s="4" t="s">
        <v>103</v>
      </c>
      <c r="J2" s="4" t="s">
        <v>50</v>
      </c>
      <c r="K2" s="4" t="s">
        <v>107</v>
      </c>
      <c r="L2" s="4" t="str">
        <f>$B2</f>
        <v>TesttesT@example.com</v>
      </c>
      <c r="M2" s="4" t="str">
        <f>$E2</f>
        <v>廣島史也</v>
      </c>
      <c r="N2" s="4" t="str">
        <f>$F2</f>
        <v>プレミアム会員</v>
      </c>
      <c r="O2" s="3" t="str">
        <f>IF(COUNTIF(G2,"*ignore*"),"未登録",G2)</f>
        <v>未登録</v>
      </c>
      <c r="P2" s="3" t="str">
        <f t="shared" ref="P2" si="0">IF(COUNTIF(H2,"*ignore*"),"未登録",H2)</f>
        <v>未登録</v>
      </c>
      <c r="Q2" s="3" t="str">
        <f>IF(OR(I2="回答しない", COUNTIF(I2,"*ignore*")),"未登録",I2)</f>
        <v>未登録</v>
      </c>
      <c r="R2" s="3" t="str">
        <f>IF(COUNTIF(J2,"*ignore*"),"未登録",TEXT(DATEVALUE(J2),"yyyy年m月d日"))</f>
        <v>未登録</v>
      </c>
      <c r="S2" s="3" t="str">
        <f>IF(COUNTIF(K2,"ON"),"受け取る","受け取らない")</f>
        <v>受け取る</v>
      </c>
    </row>
    <row r="3" spans="1:19">
      <c r="A3" s="4" t="s">
        <v>8</v>
      </c>
      <c r="B3" s="4" t="s">
        <v>33</v>
      </c>
      <c r="C3" s="4" t="s">
        <v>32</v>
      </c>
      <c r="D3" s="4" t="s">
        <v>32</v>
      </c>
      <c r="E3" s="4" t="s">
        <v>31</v>
      </c>
      <c r="F3" s="4" t="s">
        <v>101</v>
      </c>
      <c r="G3" s="4" t="s">
        <v>50</v>
      </c>
      <c r="H3" s="4" t="s">
        <v>50</v>
      </c>
      <c r="I3" s="4" t="s">
        <v>103</v>
      </c>
      <c r="J3" s="4" t="s">
        <v>50</v>
      </c>
      <c r="K3" s="4" t="s">
        <v>108</v>
      </c>
      <c r="L3" s="4" t="str">
        <f t="shared" ref="L3:L17" si="1">$B3</f>
        <v>TesttesT@example.com</v>
      </c>
      <c r="M3" s="4" t="str">
        <f t="shared" ref="M3:M17" si="2">$E3</f>
        <v>廣島史也</v>
      </c>
      <c r="N3" s="4" t="str">
        <f t="shared" ref="N3:N17" si="3">$F3</f>
        <v>プレミアム会員</v>
      </c>
      <c r="O3" s="3" t="str">
        <f t="shared" ref="O3:O17" si="4">IF(COUNTIF(G3,"*ignore*"),"未登録",G3)</f>
        <v>未登録</v>
      </c>
      <c r="P3" s="3" t="str">
        <f t="shared" ref="P3:P17" si="5">IF(COUNTIF(H3,"*ignore*"),"未登録",H3)</f>
        <v>未登録</v>
      </c>
      <c r="Q3" s="3" t="str">
        <f t="shared" ref="Q3:Q17" si="6">IF(OR(I3="回答しない", COUNTIF(I3,"*ignore*")),"未登録",I3)</f>
        <v>未登録</v>
      </c>
      <c r="R3" s="3" t="str">
        <f t="shared" ref="R3:R17" si="7">IF(COUNTIF(J3,"*ignore*"),"未登録",TEXT(DATEVALUE(J3),"yyyy年m月d日"))</f>
        <v>未登録</v>
      </c>
      <c r="S3" s="3" t="str">
        <f t="shared" ref="S3:S17" si="8">IF(COUNTIF(K3,"ON"),"受け取る","受け取らない")</f>
        <v>受け取らない</v>
      </c>
    </row>
    <row r="4" spans="1:19">
      <c r="A4" s="4" t="s">
        <v>9</v>
      </c>
      <c r="B4" s="4" t="s">
        <v>33</v>
      </c>
      <c r="C4" s="4" t="s">
        <v>32</v>
      </c>
      <c r="D4" s="4" t="s">
        <v>32</v>
      </c>
      <c r="E4" s="4" t="s">
        <v>31</v>
      </c>
      <c r="F4" s="4" t="s">
        <v>101</v>
      </c>
      <c r="G4" s="4" t="s">
        <v>50</v>
      </c>
      <c r="H4" s="4" t="s">
        <v>50</v>
      </c>
      <c r="I4" s="4" t="s">
        <v>104</v>
      </c>
      <c r="J4" s="4" t="s">
        <v>50</v>
      </c>
      <c r="K4" s="4" t="s">
        <v>107</v>
      </c>
      <c r="L4" s="4" t="str">
        <f t="shared" si="1"/>
        <v>TesttesT@example.com</v>
      </c>
      <c r="M4" s="4" t="str">
        <f t="shared" si="2"/>
        <v>廣島史也</v>
      </c>
      <c r="N4" s="4" t="str">
        <f t="shared" si="3"/>
        <v>プレミアム会員</v>
      </c>
      <c r="O4" s="3" t="str">
        <f t="shared" si="4"/>
        <v>未登録</v>
      </c>
      <c r="P4" s="3" t="str">
        <f t="shared" si="5"/>
        <v>未登録</v>
      </c>
      <c r="Q4" s="3" t="str">
        <f t="shared" si="6"/>
        <v>男性</v>
      </c>
      <c r="R4" s="3" t="str">
        <f t="shared" si="7"/>
        <v>未登録</v>
      </c>
      <c r="S4" s="3" t="str">
        <f t="shared" si="8"/>
        <v>受け取る</v>
      </c>
    </row>
    <row r="5" spans="1:19">
      <c r="A5" s="4" t="s">
        <v>68</v>
      </c>
      <c r="B5" s="4" t="s">
        <v>33</v>
      </c>
      <c r="C5" s="4" t="s">
        <v>32</v>
      </c>
      <c r="D5" s="4" t="s">
        <v>32</v>
      </c>
      <c r="E5" s="4" t="s">
        <v>31</v>
      </c>
      <c r="F5" s="4" t="s">
        <v>101</v>
      </c>
      <c r="G5" s="4" t="s">
        <v>50</v>
      </c>
      <c r="H5" s="4" t="s">
        <v>50</v>
      </c>
      <c r="I5" s="4" t="s">
        <v>104</v>
      </c>
      <c r="J5" s="4" t="s">
        <v>50</v>
      </c>
      <c r="K5" s="4" t="s">
        <v>108</v>
      </c>
      <c r="L5" s="4" t="str">
        <f t="shared" si="1"/>
        <v>TesttesT@example.com</v>
      </c>
      <c r="M5" s="4" t="str">
        <f t="shared" si="2"/>
        <v>廣島史也</v>
      </c>
      <c r="N5" s="4" t="str">
        <f t="shared" si="3"/>
        <v>プレミアム会員</v>
      </c>
      <c r="O5" s="3" t="str">
        <f t="shared" si="4"/>
        <v>未登録</v>
      </c>
      <c r="P5" s="3" t="str">
        <f t="shared" si="5"/>
        <v>未登録</v>
      </c>
      <c r="Q5" s="3" t="str">
        <f t="shared" si="6"/>
        <v>男性</v>
      </c>
      <c r="R5" s="3" t="str">
        <f t="shared" si="7"/>
        <v>未登録</v>
      </c>
      <c r="S5" s="3" t="str">
        <f t="shared" si="8"/>
        <v>受け取らない</v>
      </c>
    </row>
    <row r="6" spans="1:19">
      <c r="A6" s="4" t="s">
        <v>89</v>
      </c>
      <c r="B6" s="4" t="s">
        <v>33</v>
      </c>
      <c r="C6" s="4" t="s">
        <v>32</v>
      </c>
      <c r="D6" s="4" t="s">
        <v>32</v>
      </c>
      <c r="E6" s="4" t="s">
        <v>31</v>
      </c>
      <c r="F6" s="4" t="s">
        <v>101</v>
      </c>
      <c r="G6" s="4" t="s">
        <v>50</v>
      </c>
      <c r="H6" s="4" t="s">
        <v>50</v>
      </c>
      <c r="I6" s="4" t="s">
        <v>105</v>
      </c>
      <c r="J6" s="4" t="s">
        <v>50</v>
      </c>
      <c r="K6" s="4" t="s">
        <v>107</v>
      </c>
      <c r="L6" s="4" t="str">
        <f t="shared" si="1"/>
        <v>TesttesT@example.com</v>
      </c>
      <c r="M6" s="4" t="str">
        <f t="shared" si="2"/>
        <v>廣島史也</v>
      </c>
      <c r="N6" s="4" t="str">
        <f t="shared" si="3"/>
        <v>プレミアム会員</v>
      </c>
      <c r="O6" s="3" t="str">
        <f t="shared" si="4"/>
        <v>未登録</v>
      </c>
      <c r="P6" s="3" t="str">
        <f t="shared" si="5"/>
        <v>未登録</v>
      </c>
      <c r="Q6" s="3" t="str">
        <f t="shared" si="6"/>
        <v>女性</v>
      </c>
      <c r="R6" s="3" t="str">
        <f t="shared" si="7"/>
        <v>未登録</v>
      </c>
      <c r="S6" s="3" t="str">
        <f t="shared" si="8"/>
        <v>受け取る</v>
      </c>
    </row>
    <row r="7" spans="1:19">
      <c r="A7" s="4" t="s">
        <v>90</v>
      </c>
      <c r="B7" s="4" t="s">
        <v>33</v>
      </c>
      <c r="C7" s="4" t="s">
        <v>32</v>
      </c>
      <c r="D7" s="4" t="s">
        <v>32</v>
      </c>
      <c r="E7" s="4" t="s">
        <v>31</v>
      </c>
      <c r="F7" s="4" t="s">
        <v>101</v>
      </c>
      <c r="G7" s="4" t="s">
        <v>50</v>
      </c>
      <c r="H7" s="4" t="s">
        <v>50</v>
      </c>
      <c r="I7" s="4" t="s">
        <v>105</v>
      </c>
      <c r="J7" s="4" t="s">
        <v>50</v>
      </c>
      <c r="K7" s="4" t="s">
        <v>108</v>
      </c>
      <c r="L7" s="4" t="str">
        <f t="shared" si="1"/>
        <v>TesttesT@example.com</v>
      </c>
      <c r="M7" s="4" t="str">
        <f t="shared" si="2"/>
        <v>廣島史也</v>
      </c>
      <c r="N7" s="4" t="str">
        <f t="shared" si="3"/>
        <v>プレミアム会員</v>
      </c>
      <c r="O7" s="3" t="str">
        <f t="shared" si="4"/>
        <v>未登録</v>
      </c>
      <c r="P7" s="3" t="str">
        <f t="shared" si="5"/>
        <v>未登録</v>
      </c>
      <c r="Q7" s="3" t="str">
        <f t="shared" si="6"/>
        <v>女性</v>
      </c>
      <c r="R7" s="3" t="str">
        <f t="shared" si="7"/>
        <v>未登録</v>
      </c>
      <c r="S7" s="3" t="str">
        <f t="shared" si="8"/>
        <v>受け取らない</v>
      </c>
    </row>
    <row r="8" spans="1:19">
      <c r="A8" s="4" t="s">
        <v>91</v>
      </c>
      <c r="B8" s="4" t="s">
        <v>33</v>
      </c>
      <c r="C8" s="4" t="s">
        <v>32</v>
      </c>
      <c r="D8" s="4" t="s">
        <v>32</v>
      </c>
      <c r="E8" s="4" t="s">
        <v>31</v>
      </c>
      <c r="F8" s="4" t="s">
        <v>101</v>
      </c>
      <c r="G8" s="4" t="s">
        <v>50</v>
      </c>
      <c r="H8" s="4" t="s">
        <v>50</v>
      </c>
      <c r="I8" s="4" t="s">
        <v>106</v>
      </c>
      <c r="J8" s="4" t="s">
        <v>50</v>
      </c>
      <c r="K8" s="4" t="s">
        <v>107</v>
      </c>
      <c r="L8" s="4" t="str">
        <f t="shared" si="1"/>
        <v>TesttesT@example.com</v>
      </c>
      <c r="M8" s="4" t="str">
        <f t="shared" si="2"/>
        <v>廣島史也</v>
      </c>
      <c r="N8" s="4" t="str">
        <f t="shared" si="3"/>
        <v>プレミアム会員</v>
      </c>
      <c r="O8" s="3" t="str">
        <f t="shared" si="4"/>
        <v>未登録</v>
      </c>
      <c r="P8" s="3" t="str">
        <f t="shared" si="5"/>
        <v>未登録</v>
      </c>
      <c r="Q8" s="3" t="str">
        <f t="shared" si="6"/>
        <v>その他</v>
      </c>
      <c r="R8" s="3" t="str">
        <f t="shared" si="7"/>
        <v>未登録</v>
      </c>
      <c r="S8" s="3" t="str">
        <f t="shared" si="8"/>
        <v>受け取る</v>
      </c>
    </row>
    <row r="9" spans="1:19">
      <c r="A9" s="4" t="s">
        <v>92</v>
      </c>
      <c r="B9" s="4" t="s">
        <v>33</v>
      </c>
      <c r="C9" s="4" t="s">
        <v>32</v>
      </c>
      <c r="D9" s="4" t="s">
        <v>32</v>
      </c>
      <c r="E9" s="4" t="s">
        <v>31</v>
      </c>
      <c r="F9" s="4" t="s">
        <v>101</v>
      </c>
      <c r="G9" s="4" t="s">
        <v>50</v>
      </c>
      <c r="H9" s="4" t="s">
        <v>50</v>
      </c>
      <c r="I9" s="4" t="s">
        <v>106</v>
      </c>
      <c r="J9" s="4" t="s">
        <v>50</v>
      </c>
      <c r="K9" s="4" t="s">
        <v>108</v>
      </c>
      <c r="L9" s="4" t="str">
        <f t="shared" si="1"/>
        <v>TesttesT@example.com</v>
      </c>
      <c r="M9" s="4" t="str">
        <f t="shared" si="2"/>
        <v>廣島史也</v>
      </c>
      <c r="N9" s="4" t="str">
        <f t="shared" si="3"/>
        <v>プレミアム会員</v>
      </c>
      <c r="O9" s="3" t="str">
        <f t="shared" si="4"/>
        <v>未登録</v>
      </c>
      <c r="P9" s="3" t="str">
        <f t="shared" si="5"/>
        <v>未登録</v>
      </c>
      <c r="Q9" s="3" t="str">
        <f t="shared" si="6"/>
        <v>その他</v>
      </c>
      <c r="R9" s="3" t="str">
        <f t="shared" si="7"/>
        <v>未登録</v>
      </c>
      <c r="S9" s="3" t="str">
        <f t="shared" si="8"/>
        <v>受け取らない</v>
      </c>
    </row>
    <row r="10" spans="1:19">
      <c r="A10" s="4" t="s">
        <v>93</v>
      </c>
      <c r="B10" s="4" t="s">
        <v>33</v>
      </c>
      <c r="C10" s="4" t="s">
        <v>32</v>
      </c>
      <c r="D10" s="4" t="s">
        <v>32</v>
      </c>
      <c r="E10" s="4" t="s">
        <v>31</v>
      </c>
      <c r="F10" s="4" t="s">
        <v>102</v>
      </c>
      <c r="G10" s="4" t="s">
        <v>50</v>
      </c>
      <c r="H10" s="4" t="s">
        <v>50</v>
      </c>
      <c r="I10" s="4" t="s">
        <v>103</v>
      </c>
      <c r="J10" s="4" t="s">
        <v>50</v>
      </c>
      <c r="K10" s="4" t="s">
        <v>107</v>
      </c>
      <c r="L10" s="4" t="str">
        <f t="shared" si="1"/>
        <v>TesttesT@example.com</v>
      </c>
      <c r="M10" s="4" t="str">
        <f t="shared" si="2"/>
        <v>廣島史也</v>
      </c>
      <c r="N10" s="4" t="str">
        <f t="shared" si="3"/>
        <v>一般会員</v>
      </c>
      <c r="O10" s="3" t="str">
        <f t="shared" si="4"/>
        <v>未登録</v>
      </c>
      <c r="P10" s="3" t="str">
        <f t="shared" si="5"/>
        <v>未登録</v>
      </c>
      <c r="Q10" s="3" t="str">
        <f t="shared" si="6"/>
        <v>未登録</v>
      </c>
      <c r="R10" s="3" t="str">
        <f t="shared" si="7"/>
        <v>未登録</v>
      </c>
      <c r="S10" s="3" t="str">
        <f t="shared" si="8"/>
        <v>受け取る</v>
      </c>
    </row>
    <row r="11" spans="1:19">
      <c r="A11" s="4" t="s">
        <v>94</v>
      </c>
      <c r="B11" s="4" t="s">
        <v>33</v>
      </c>
      <c r="C11" s="4" t="s">
        <v>32</v>
      </c>
      <c r="D11" s="4" t="s">
        <v>32</v>
      </c>
      <c r="E11" s="4" t="s">
        <v>31</v>
      </c>
      <c r="F11" s="4" t="s">
        <v>102</v>
      </c>
      <c r="G11" s="4" t="s">
        <v>50</v>
      </c>
      <c r="H11" s="4" t="s">
        <v>50</v>
      </c>
      <c r="I11" s="4" t="s">
        <v>103</v>
      </c>
      <c r="J11" s="4" t="s">
        <v>50</v>
      </c>
      <c r="K11" s="4" t="s">
        <v>108</v>
      </c>
      <c r="L11" s="4" t="str">
        <f t="shared" si="1"/>
        <v>TesttesT@example.com</v>
      </c>
      <c r="M11" s="4" t="str">
        <f t="shared" si="2"/>
        <v>廣島史也</v>
      </c>
      <c r="N11" s="4" t="str">
        <f t="shared" si="3"/>
        <v>一般会員</v>
      </c>
      <c r="O11" s="3" t="str">
        <f t="shared" si="4"/>
        <v>未登録</v>
      </c>
      <c r="P11" s="3" t="str">
        <f t="shared" si="5"/>
        <v>未登録</v>
      </c>
      <c r="Q11" s="3" t="str">
        <f t="shared" si="6"/>
        <v>未登録</v>
      </c>
      <c r="R11" s="3" t="str">
        <f t="shared" si="7"/>
        <v>未登録</v>
      </c>
      <c r="S11" s="3" t="str">
        <f t="shared" si="8"/>
        <v>受け取らない</v>
      </c>
    </row>
    <row r="12" spans="1:19">
      <c r="A12" s="4" t="s">
        <v>96</v>
      </c>
      <c r="B12" s="4" t="s">
        <v>33</v>
      </c>
      <c r="C12" s="4" t="s">
        <v>32</v>
      </c>
      <c r="D12" s="4" t="s">
        <v>32</v>
      </c>
      <c r="E12" s="4" t="s">
        <v>31</v>
      </c>
      <c r="F12" s="4" t="s">
        <v>102</v>
      </c>
      <c r="G12" s="4" t="s">
        <v>50</v>
      </c>
      <c r="H12" s="4" t="s">
        <v>50</v>
      </c>
      <c r="I12" s="4" t="s">
        <v>104</v>
      </c>
      <c r="J12" s="4" t="s">
        <v>50</v>
      </c>
      <c r="K12" s="4" t="s">
        <v>107</v>
      </c>
      <c r="L12" s="4" t="str">
        <f t="shared" si="1"/>
        <v>TesttesT@example.com</v>
      </c>
      <c r="M12" s="4" t="str">
        <f t="shared" si="2"/>
        <v>廣島史也</v>
      </c>
      <c r="N12" s="4" t="str">
        <f t="shared" si="3"/>
        <v>一般会員</v>
      </c>
      <c r="O12" s="3" t="str">
        <f t="shared" si="4"/>
        <v>未登録</v>
      </c>
      <c r="P12" s="3" t="str">
        <f t="shared" si="5"/>
        <v>未登録</v>
      </c>
      <c r="Q12" s="3" t="str">
        <f t="shared" si="6"/>
        <v>男性</v>
      </c>
      <c r="R12" s="3" t="str">
        <f t="shared" si="7"/>
        <v>未登録</v>
      </c>
      <c r="S12" s="3" t="str">
        <f t="shared" si="8"/>
        <v>受け取る</v>
      </c>
    </row>
    <row r="13" spans="1:19">
      <c r="A13" s="2" t="s">
        <v>95</v>
      </c>
      <c r="B13" s="4" t="s">
        <v>33</v>
      </c>
      <c r="C13" s="4" t="s">
        <v>32</v>
      </c>
      <c r="D13" s="4" t="s">
        <v>32</v>
      </c>
      <c r="E13" s="4" t="s">
        <v>31</v>
      </c>
      <c r="F13" s="4" t="s">
        <v>102</v>
      </c>
      <c r="G13" s="4" t="s">
        <v>50</v>
      </c>
      <c r="H13" s="4" t="s">
        <v>50</v>
      </c>
      <c r="I13" s="4" t="s">
        <v>104</v>
      </c>
      <c r="J13" s="4" t="s">
        <v>50</v>
      </c>
      <c r="K13" s="4" t="s">
        <v>108</v>
      </c>
      <c r="L13" s="4" t="str">
        <f t="shared" si="1"/>
        <v>TesttesT@example.com</v>
      </c>
      <c r="M13" s="4" t="str">
        <f t="shared" si="2"/>
        <v>廣島史也</v>
      </c>
      <c r="N13" s="4" t="str">
        <f t="shared" si="3"/>
        <v>一般会員</v>
      </c>
      <c r="O13" s="3" t="str">
        <f t="shared" si="4"/>
        <v>未登録</v>
      </c>
      <c r="P13" s="3" t="str">
        <f t="shared" si="5"/>
        <v>未登録</v>
      </c>
      <c r="Q13" s="3" t="str">
        <f t="shared" si="6"/>
        <v>男性</v>
      </c>
      <c r="R13" s="3" t="str">
        <f t="shared" si="7"/>
        <v>未登録</v>
      </c>
      <c r="S13" s="3" t="str">
        <f t="shared" si="8"/>
        <v>受け取らない</v>
      </c>
    </row>
    <row r="14" spans="1:19">
      <c r="A14" s="4" t="s">
        <v>97</v>
      </c>
      <c r="B14" s="4" t="s">
        <v>33</v>
      </c>
      <c r="C14" s="4" t="s">
        <v>32</v>
      </c>
      <c r="D14" s="4" t="s">
        <v>32</v>
      </c>
      <c r="E14" s="4" t="s">
        <v>31</v>
      </c>
      <c r="F14" s="4" t="s">
        <v>102</v>
      </c>
      <c r="G14" s="4" t="s">
        <v>50</v>
      </c>
      <c r="H14" s="4" t="s">
        <v>50</v>
      </c>
      <c r="I14" s="4" t="s">
        <v>105</v>
      </c>
      <c r="J14" s="4" t="s">
        <v>50</v>
      </c>
      <c r="K14" s="4" t="s">
        <v>107</v>
      </c>
      <c r="L14" s="4" t="str">
        <f t="shared" si="1"/>
        <v>TesttesT@example.com</v>
      </c>
      <c r="M14" s="4" t="str">
        <f t="shared" si="2"/>
        <v>廣島史也</v>
      </c>
      <c r="N14" s="4" t="str">
        <f t="shared" si="3"/>
        <v>一般会員</v>
      </c>
      <c r="O14" s="3" t="str">
        <f t="shared" si="4"/>
        <v>未登録</v>
      </c>
      <c r="P14" s="3" t="str">
        <f t="shared" si="5"/>
        <v>未登録</v>
      </c>
      <c r="Q14" s="3" t="str">
        <f t="shared" si="6"/>
        <v>女性</v>
      </c>
      <c r="R14" s="3" t="str">
        <f t="shared" si="7"/>
        <v>未登録</v>
      </c>
      <c r="S14" s="3" t="str">
        <f t="shared" si="8"/>
        <v>受け取る</v>
      </c>
    </row>
    <row r="15" spans="1:19">
      <c r="A15" s="4" t="s">
        <v>98</v>
      </c>
      <c r="B15" s="4" t="s">
        <v>33</v>
      </c>
      <c r="C15" s="4" t="s">
        <v>32</v>
      </c>
      <c r="D15" s="4" t="s">
        <v>32</v>
      </c>
      <c r="E15" s="4" t="s">
        <v>31</v>
      </c>
      <c r="F15" s="4" t="s">
        <v>102</v>
      </c>
      <c r="G15" s="4" t="s">
        <v>50</v>
      </c>
      <c r="H15" s="4" t="s">
        <v>50</v>
      </c>
      <c r="I15" s="4" t="s">
        <v>105</v>
      </c>
      <c r="J15" s="4" t="s">
        <v>50</v>
      </c>
      <c r="K15" s="4" t="s">
        <v>108</v>
      </c>
      <c r="L15" s="4" t="str">
        <f t="shared" si="1"/>
        <v>TesttesT@example.com</v>
      </c>
      <c r="M15" s="4" t="str">
        <f t="shared" si="2"/>
        <v>廣島史也</v>
      </c>
      <c r="N15" s="4" t="str">
        <f t="shared" si="3"/>
        <v>一般会員</v>
      </c>
      <c r="O15" s="3" t="str">
        <f t="shared" si="4"/>
        <v>未登録</v>
      </c>
      <c r="P15" s="3" t="str">
        <f t="shared" si="5"/>
        <v>未登録</v>
      </c>
      <c r="Q15" s="3" t="str">
        <f t="shared" si="6"/>
        <v>女性</v>
      </c>
      <c r="R15" s="3" t="str">
        <f t="shared" si="7"/>
        <v>未登録</v>
      </c>
      <c r="S15" s="3" t="str">
        <f t="shared" si="8"/>
        <v>受け取らない</v>
      </c>
    </row>
    <row r="16" spans="1:19">
      <c r="A16" s="4" t="s">
        <v>99</v>
      </c>
      <c r="B16" s="4" t="s">
        <v>33</v>
      </c>
      <c r="C16" s="4" t="s">
        <v>32</v>
      </c>
      <c r="D16" s="4" t="s">
        <v>32</v>
      </c>
      <c r="E16" s="4" t="s">
        <v>31</v>
      </c>
      <c r="F16" s="4" t="s">
        <v>102</v>
      </c>
      <c r="G16" s="4" t="s">
        <v>50</v>
      </c>
      <c r="H16" s="4" t="s">
        <v>50</v>
      </c>
      <c r="I16" s="4" t="s">
        <v>106</v>
      </c>
      <c r="J16" s="4" t="s">
        <v>50</v>
      </c>
      <c r="K16" s="4" t="s">
        <v>107</v>
      </c>
      <c r="L16" s="4" t="str">
        <f t="shared" si="1"/>
        <v>TesttesT@example.com</v>
      </c>
      <c r="M16" s="4" t="str">
        <f t="shared" si="2"/>
        <v>廣島史也</v>
      </c>
      <c r="N16" s="4" t="str">
        <f t="shared" si="3"/>
        <v>一般会員</v>
      </c>
      <c r="O16" s="3" t="str">
        <f t="shared" si="4"/>
        <v>未登録</v>
      </c>
      <c r="P16" s="3" t="str">
        <f t="shared" si="5"/>
        <v>未登録</v>
      </c>
      <c r="Q16" s="3" t="str">
        <f t="shared" si="6"/>
        <v>その他</v>
      </c>
      <c r="R16" s="3" t="str">
        <f t="shared" si="7"/>
        <v>未登録</v>
      </c>
      <c r="S16" s="3" t="str">
        <f t="shared" si="8"/>
        <v>受け取る</v>
      </c>
    </row>
    <row r="17" spans="1:19">
      <c r="A17" s="4" t="s">
        <v>100</v>
      </c>
      <c r="B17" s="4" t="s">
        <v>33</v>
      </c>
      <c r="C17" s="4" t="s">
        <v>32</v>
      </c>
      <c r="D17" s="4" t="s">
        <v>32</v>
      </c>
      <c r="E17" s="4" t="s">
        <v>31</v>
      </c>
      <c r="F17" s="4" t="s">
        <v>102</v>
      </c>
      <c r="G17" s="4" t="s">
        <v>50</v>
      </c>
      <c r="H17" s="4" t="s">
        <v>50</v>
      </c>
      <c r="I17" s="4" t="s">
        <v>106</v>
      </c>
      <c r="J17" s="4" t="s">
        <v>50</v>
      </c>
      <c r="K17" s="4" t="s">
        <v>108</v>
      </c>
      <c r="L17" s="4" t="str">
        <f t="shared" si="1"/>
        <v>TesttesT@example.com</v>
      </c>
      <c r="M17" s="4" t="str">
        <f t="shared" si="2"/>
        <v>廣島史也</v>
      </c>
      <c r="N17" s="4" t="str">
        <f t="shared" si="3"/>
        <v>一般会員</v>
      </c>
      <c r="O17" s="3" t="str">
        <f t="shared" si="4"/>
        <v>未登録</v>
      </c>
      <c r="P17" s="3" t="str">
        <f t="shared" si="5"/>
        <v>未登録</v>
      </c>
      <c r="Q17" s="3" t="str">
        <f t="shared" si="6"/>
        <v>その他</v>
      </c>
      <c r="R17" s="3" t="str">
        <f t="shared" si="7"/>
        <v>未登録</v>
      </c>
      <c r="S17" s="3" t="str">
        <f t="shared" si="8"/>
        <v>受け取らない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863-C90B-4209-9146-B789E4C8880E}">
  <dimension ref="A1:D4"/>
  <sheetViews>
    <sheetView workbookViewId="0"/>
  </sheetViews>
  <sheetFormatPr defaultRowHeight="18.75"/>
  <cols>
    <col min="1" max="1" width="3.125" style="5" bestFit="1" customWidth="1"/>
    <col min="2" max="2" width="23.125" style="5" bestFit="1" customWidth="1"/>
    <col min="3" max="3" width="10.875" style="5" bestFit="1" customWidth="1"/>
    <col min="4" max="4" width="14.75" style="5" bestFit="1" customWidth="1"/>
    <col min="5" max="16384" width="9" style="5"/>
  </cols>
  <sheetData>
    <row r="1" spans="1:4">
      <c r="A1" s="1" t="s">
        <v>0</v>
      </c>
      <c r="B1" s="1" t="s">
        <v>2</v>
      </c>
      <c r="C1" s="1" t="s">
        <v>3</v>
      </c>
      <c r="D1" s="6" t="s">
        <v>29</v>
      </c>
    </row>
    <row r="2" spans="1:4">
      <c r="A2" s="2" t="s">
        <v>1</v>
      </c>
      <c r="B2" s="4" t="s">
        <v>50</v>
      </c>
      <c r="C2" s="4" t="s">
        <v>50</v>
      </c>
      <c r="D2" s="4" t="s">
        <v>124</v>
      </c>
    </row>
    <row r="3" spans="1:4">
      <c r="A3" s="4" t="s">
        <v>8</v>
      </c>
      <c r="B3" s="3" t="s">
        <v>21</v>
      </c>
      <c r="C3" s="4" t="s">
        <v>16</v>
      </c>
      <c r="D3" s="4" t="s">
        <v>126</v>
      </c>
    </row>
    <row r="4" spans="1:4">
      <c r="A4" s="4" t="s">
        <v>9</v>
      </c>
      <c r="B4" s="3" t="s">
        <v>4</v>
      </c>
      <c r="C4" s="4" t="s">
        <v>3</v>
      </c>
      <c r="D4" s="4" t="s">
        <v>125</v>
      </c>
    </row>
  </sheetData>
  <phoneticPr fontId="1"/>
  <dataValidations count="1">
    <dataValidation type="list" allowBlank="1" showInputMessage="1" showErrorMessage="1" sqref="D2:D4" xr:uid="{7909677E-97F9-4B84-8839-9C5401BEB838}">
      <formula1>"ゲスト会員,一般会員,プレミアム会員"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8E58-6F5E-4EEB-82B7-548F7B98E436}">
  <dimension ref="A1:D2"/>
  <sheetViews>
    <sheetView workbookViewId="0"/>
  </sheetViews>
  <sheetFormatPr defaultRowHeight="18.75"/>
  <cols>
    <col min="1" max="1" width="3.125" bestFit="1" customWidth="1"/>
    <col min="2" max="2" width="20.125" bestFit="1" customWidth="1"/>
    <col min="3" max="3" width="9.875" bestFit="1" customWidth="1"/>
    <col min="4" max="4" width="14.75" bestFit="1" customWidth="1"/>
  </cols>
  <sheetData>
    <row r="1" spans="1:4">
      <c r="A1" s="1" t="s">
        <v>0</v>
      </c>
      <c r="B1" s="1" t="s">
        <v>2</v>
      </c>
      <c r="C1" s="1" t="s">
        <v>3</v>
      </c>
      <c r="D1" s="6" t="s">
        <v>29</v>
      </c>
    </row>
    <row r="2" spans="1:4">
      <c r="A2" s="4" t="s">
        <v>1</v>
      </c>
      <c r="B2" s="3" t="s">
        <v>4</v>
      </c>
      <c r="C2" s="4" t="s">
        <v>3</v>
      </c>
      <c r="D2" s="4" t="s">
        <v>125</v>
      </c>
    </row>
  </sheetData>
  <phoneticPr fontId="1"/>
  <dataValidations count="1">
    <dataValidation type="list" allowBlank="1" showInputMessage="1" showErrorMessage="1" sqref="D2" xr:uid="{AC60C78E-0B4C-430C-8374-C58614F76001}">
      <formula1>"ゲスト会員,一般会員,プレミアム会員"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DEC2-D695-4F7E-B489-99ACF0AEF01B}">
  <dimension ref="A1:E11"/>
  <sheetViews>
    <sheetView workbookViewId="0"/>
  </sheetViews>
  <sheetFormatPr defaultRowHeight="18.75"/>
  <cols>
    <col min="1" max="1" width="3.125" style="5" bestFit="1" customWidth="1"/>
    <col min="2" max="2" width="25.5" style="5" bestFit="1" customWidth="1"/>
    <col min="3" max="3" width="25.5" bestFit="1" customWidth="1"/>
    <col min="4" max="4" width="64.875" style="5" bestFit="1" customWidth="1"/>
    <col min="5" max="5" width="8.875" style="5" bestFit="1" customWidth="1"/>
  </cols>
  <sheetData>
    <row r="1" spans="1:5">
      <c r="A1" s="6" t="s">
        <v>127</v>
      </c>
      <c r="B1" s="6" t="s">
        <v>128</v>
      </c>
      <c r="C1" s="7" t="s">
        <v>129</v>
      </c>
      <c r="D1" s="6" t="s">
        <v>130</v>
      </c>
      <c r="E1" s="6" t="s">
        <v>131</v>
      </c>
    </row>
    <row r="2" spans="1:5">
      <c r="A2" s="4" t="s">
        <v>1</v>
      </c>
      <c r="B2" s="4" t="s">
        <v>132</v>
      </c>
      <c r="C2" s="3" t="str">
        <f>$B2</f>
        <v>お得な特典付きプラン</v>
      </c>
      <c r="D2" s="4" t="s">
        <v>133</v>
      </c>
      <c r="E2" s="4" t="s">
        <v>197</v>
      </c>
    </row>
    <row r="3" spans="1:5">
      <c r="A3" s="4" t="s">
        <v>8</v>
      </c>
      <c r="B3" s="4" t="s">
        <v>134</v>
      </c>
      <c r="C3" s="3" t="str">
        <f t="shared" ref="C3:C11" si="0">$B3</f>
        <v>プレミアムプラン</v>
      </c>
      <c r="D3" s="4" t="s">
        <v>135</v>
      </c>
      <c r="E3" s="4" t="s">
        <v>197</v>
      </c>
    </row>
    <row r="4" spans="1:5">
      <c r="A4" s="4" t="s">
        <v>9</v>
      </c>
      <c r="B4" s="4" t="s">
        <v>136</v>
      </c>
      <c r="C4" s="3" t="str">
        <f t="shared" si="0"/>
        <v>ディナー付きプラン</v>
      </c>
      <c r="D4" s="4" t="s">
        <v>137</v>
      </c>
      <c r="E4" s="4" t="s">
        <v>152</v>
      </c>
    </row>
    <row r="5" spans="1:5">
      <c r="A5" s="4" t="s">
        <v>68</v>
      </c>
      <c r="B5" s="4" t="s">
        <v>138</v>
      </c>
      <c r="C5" s="3" t="str">
        <f t="shared" si="0"/>
        <v>お得なプラン</v>
      </c>
      <c r="D5" s="4" t="s">
        <v>139</v>
      </c>
      <c r="E5" s="4" t="s">
        <v>152</v>
      </c>
    </row>
    <row r="6" spans="1:5">
      <c r="A6" s="4" t="s">
        <v>11</v>
      </c>
      <c r="B6" s="4" t="s">
        <v>140</v>
      </c>
      <c r="C6" s="3" t="str">
        <f t="shared" si="0"/>
        <v>素泊まり</v>
      </c>
      <c r="D6" s="4" t="s">
        <v>141</v>
      </c>
      <c r="E6" s="4" t="s">
        <v>198</v>
      </c>
    </row>
    <row r="7" spans="1:5">
      <c r="A7" s="4" t="s">
        <v>12</v>
      </c>
      <c r="B7" s="4" t="s">
        <v>142</v>
      </c>
      <c r="C7" s="3" t="str">
        <f t="shared" si="0"/>
        <v>出張ビジネスプラン</v>
      </c>
      <c r="D7" s="4" t="s">
        <v>143</v>
      </c>
      <c r="E7" s="4" t="s">
        <v>198</v>
      </c>
    </row>
    <row r="8" spans="1:5">
      <c r="A8" s="4" t="s">
        <v>13</v>
      </c>
      <c r="B8" s="4" t="s">
        <v>145</v>
      </c>
      <c r="C8" s="3" t="str">
        <f t="shared" si="0"/>
        <v>エステ・マッサージプラン</v>
      </c>
      <c r="D8" s="4" t="s">
        <v>144</v>
      </c>
      <c r="E8" s="4" t="s">
        <v>152</v>
      </c>
    </row>
    <row r="9" spans="1:5">
      <c r="A9" s="4" t="s">
        <v>109</v>
      </c>
      <c r="B9" s="4" t="s">
        <v>146</v>
      </c>
      <c r="C9" s="3" t="str">
        <f t="shared" si="0"/>
        <v>貸し切り露天風呂プラン</v>
      </c>
      <c r="D9" s="4" t="s">
        <v>147</v>
      </c>
      <c r="E9" s="4" t="s">
        <v>152</v>
      </c>
    </row>
    <row r="10" spans="1:5">
      <c r="A10" s="4" t="s">
        <v>110</v>
      </c>
      <c r="B10" s="4" t="s">
        <v>148</v>
      </c>
      <c r="C10" s="3" t="str">
        <f t="shared" si="0"/>
        <v>カップル限定プラン</v>
      </c>
      <c r="D10" s="4" t="s">
        <v>149</v>
      </c>
      <c r="E10" s="4" t="s">
        <v>197</v>
      </c>
    </row>
    <row r="11" spans="1:5">
      <c r="A11" s="4" t="s">
        <v>111</v>
      </c>
      <c r="B11" s="4" t="s">
        <v>150</v>
      </c>
      <c r="C11" s="3" t="str">
        <f t="shared" si="0"/>
        <v>テーマパーク優待プラン</v>
      </c>
      <c r="D11" s="4" t="s">
        <v>151</v>
      </c>
      <c r="E11" s="4" t="s">
        <v>152</v>
      </c>
    </row>
  </sheetData>
  <phoneticPr fontId="1"/>
  <dataValidations count="1">
    <dataValidation type="list" allowBlank="1" showInputMessage="1" showErrorMessage="1" sqref="E2:E11" xr:uid="{D3652F9C-1365-4B81-A36C-C6186E84519D}">
      <formula1>"ツイン,シングル,×"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393B-674F-4092-BE39-AAC1E182F09F}">
  <dimension ref="A1:D2"/>
  <sheetViews>
    <sheetView workbookViewId="0"/>
  </sheetViews>
  <sheetFormatPr defaultRowHeight="18.75"/>
  <cols>
    <col min="1" max="1" width="3.125" bestFit="1" customWidth="1"/>
    <col min="2" max="2" width="20.125" bestFit="1" customWidth="1"/>
    <col min="3" max="3" width="9.875" bestFit="1" customWidth="1"/>
    <col min="4" max="4" width="14.75" bestFit="1" customWidth="1"/>
  </cols>
  <sheetData>
    <row r="1" spans="1:4">
      <c r="A1" s="1" t="s">
        <v>0</v>
      </c>
      <c r="B1" s="1" t="s">
        <v>2</v>
      </c>
      <c r="C1" s="1" t="s">
        <v>3</v>
      </c>
      <c r="D1" s="6" t="s">
        <v>29</v>
      </c>
    </row>
    <row r="2" spans="1:4">
      <c r="A2" s="4" t="s">
        <v>1</v>
      </c>
      <c r="B2" s="3" t="s">
        <v>4</v>
      </c>
      <c r="C2" s="4" t="s">
        <v>3</v>
      </c>
      <c r="D2" s="4" t="s">
        <v>125</v>
      </c>
    </row>
  </sheetData>
  <phoneticPr fontId="1"/>
  <dataValidations count="1">
    <dataValidation type="list" allowBlank="1" showInputMessage="1" showErrorMessage="1" sqref="D2" xr:uid="{3917613F-4878-47BB-944C-4243B240719F}">
      <formula1>"ゲスト会員,一般会員,プレミアム会員"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73ED-CB29-46CA-B618-76CB49BD0842}">
  <dimension ref="A1:W20"/>
  <sheetViews>
    <sheetView workbookViewId="0"/>
  </sheetViews>
  <sheetFormatPr defaultColWidth="9" defaultRowHeight="18.75"/>
  <cols>
    <col min="1" max="1" width="3.5" style="5" bestFit="1" customWidth="1"/>
    <col min="2" max="2" width="25.5" style="5" bestFit="1" customWidth="1"/>
    <col min="3" max="3" width="11.375" bestFit="1" customWidth="1"/>
    <col min="4" max="4" width="14.75" style="5" bestFit="1" customWidth="1"/>
    <col min="5" max="9" width="14.75" style="5" customWidth="1"/>
    <col min="10" max="10" width="17.25" style="5" bestFit="1" customWidth="1"/>
    <col min="11" max="11" width="21.75" style="5" bestFit="1" customWidth="1"/>
    <col min="12" max="12" width="14.75" style="5" bestFit="1" customWidth="1"/>
    <col min="13" max="13" width="17.25" style="5" bestFit="1" customWidth="1"/>
    <col min="14" max="14" width="39.625" style="5" bestFit="1" customWidth="1"/>
    <col min="15" max="16" width="14.625" style="5" bestFit="1" customWidth="1"/>
    <col min="17" max="17" width="10.5" style="5" bestFit="1" customWidth="1"/>
    <col min="18" max="18" width="35" style="5" bestFit="1" customWidth="1"/>
    <col min="19" max="20" width="18.625" style="5" bestFit="1" customWidth="1"/>
    <col min="21" max="21" width="29.5" style="5" bestFit="1" customWidth="1"/>
    <col min="22" max="22" width="17.25" style="5" bestFit="1" customWidth="1"/>
    <col min="23" max="16384" width="9" style="5"/>
  </cols>
  <sheetData>
    <row r="1" spans="1:23">
      <c r="A1" s="1" t="s">
        <v>0</v>
      </c>
      <c r="B1" s="1" t="s">
        <v>128</v>
      </c>
      <c r="C1" s="9" t="s">
        <v>153</v>
      </c>
      <c r="D1" s="1" t="s">
        <v>154</v>
      </c>
      <c r="E1" s="6" t="s">
        <v>155</v>
      </c>
      <c r="F1" s="6" t="s">
        <v>157</v>
      </c>
      <c r="G1" s="6" t="s">
        <v>156</v>
      </c>
      <c r="H1" s="6" t="s">
        <v>158</v>
      </c>
      <c r="I1" s="6" t="s">
        <v>28</v>
      </c>
      <c r="J1" s="6" t="s">
        <v>159</v>
      </c>
      <c r="K1" s="6" t="s">
        <v>259</v>
      </c>
      <c r="L1" s="6" t="s">
        <v>40</v>
      </c>
      <c r="M1" s="6" t="s">
        <v>160</v>
      </c>
      <c r="N1" s="6" t="s">
        <v>130</v>
      </c>
      <c r="O1" s="6" t="s">
        <v>184</v>
      </c>
      <c r="P1" s="6" t="s">
        <v>185</v>
      </c>
      <c r="Q1" s="6" t="s">
        <v>161</v>
      </c>
      <c r="R1" s="6" t="s">
        <v>247</v>
      </c>
      <c r="S1" s="6" t="s">
        <v>162</v>
      </c>
      <c r="T1" s="6" t="s">
        <v>209</v>
      </c>
      <c r="U1" s="6" t="s">
        <v>163</v>
      </c>
      <c r="V1" s="6" t="s">
        <v>164</v>
      </c>
      <c r="W1" s="6" t="s">
        <v>186</v>
      </c>
    </row>
    <row r="2" spans="1:23">
      <c r="A2" s="2" t="s">
        <v>1</v>
      </c>
      <c r="B2" s="4" t="s">
        <v>132</v>
      </c>
      <c r="C2" s="10" t="str">
        <f ca="1">TEXT(TODAY()+7-WEEKDAY(TODAY(),1)+IF(WEEKDAY(TODAY(),1)&lt;FIND("月","日月火水木金土",1),-5,2),"yyyy/mm/dd")</f>
        <v>2025/07/28</v>
      </c>
      <c r="D2" s="4" t="s">
        <v>173</v>
      </c>
      <c r="E2" s="4" t="s">
        <v>1</v>
      </c>
      <c r="F2" s="4" t="s">
        <v>108</v>
      </c>
      <c r="G2" s="4" t="s">
        <v>108</v>
      </c>
      <c r="H2" s="4" t="s">
        <v>108</v>
      </c>
      <c r="I2" s="4" t="s">
        <v>38</v>
      </c>
      <c r="J2" s="4" t="s">
        <v>175</v>
      </c>
      <c r="K2" s="4" t="s">
        <v>50</v>
      </c>
      <c r="L2" s="4" t="s">
        <v>50</v>
      </c>
      <c r="M2" s="4" t="s">
        <v>50</v>
      </c>
      <c r="N2" s="3" t="s">
        <v>165</v>
      </c>
      <c r="O2" s="3" t="str">
        <f ca="1">TEXT($C2,"yyyy年m月d日")</f>
        <v>2025年7月28日</v>
      </c>
      <c r="P2" s="3" t="str">
        <f ca="1">TEXT($C2+$D2,"yyyy年m月d日")</f>
        <v>2025年7月29日</v>
      </c>
      <c r="Q2" s="3" t="str">
        <f>IF(COUNTIF(D2,"*ignore*"),"1泊",D2 &amp;"泊")</f>
        <v>1泊</v>
      </c>
      <c r="R2" s="3" t="str">
        <f ca="1">_xlfn.CONCAT(O2," 〜 ",P2," ",Q2)</f>
        <v>2025年7月28日 〜 2025年7月29日 1泊</v>
      </c>
      <c r="S2" s="3" t="str">
        <f>IF(COUNTIF(E2,"*ignore*"),"1名様",E2 &amp;"名様")</f>
        <v>1名様</v>
      </c>
      <c r="T2" s="3" t="str">
        <f>$I2 &amp;"様"</f>
        <v>テスト太郎様</v>
      </c>
      <c r="U2" s="3" t="str">
        <f>IF($J2="希望しない", "希望しない", IF($J2="メールでのご連絡", "メール：" &amp; $K2, IF($J2="電話でのご連絡", "電話：" &amp; $L2, "")))</f>
        <v>希望しない</v>
      </c>
      <c r="V2" s="3" t="str">
        <f>IF(COUNTIF($M2,"*ignore*"),"なし",$M2)</f>
        <v>なし</v>
      </c>
      <c r="W2" s="3" t="s">
        <v>199</v>
      </c>
    </row>
    <row r="3" spans="1:23">
      <c r="A3" s="4" t="s">
        <v>8</v>
      </c>
      <c r="B3" s="4" t="s">
        <v>134</v>
      </c>
      <c r="C3" s="10" t="str">
        <f t="shared" ref="C3:C20" ca="1" si="0">TEXT(TODAY()+7-WEEKDAY(TODAY(),1)+IF(WEEKDAY(TODAY(),1)&lt;FIND("月","日月火水木金土",1),-5,2),"yyyy/mm/dd")</f>
        <v>2025/07/28</v>
      </c>
      <c r="D3" s="4" t="s">
        <v>173</v>
      </c>
      <c r="E3" s="4" t="s">
        <v>8</v>
      </c>
      <c r="F3" s="4" t="s">
        <v>108</v>
      </c>
      <c r="G3" s="4" t="s">
        <v>108</v>
      </c>
      <c r="H3" s="4" t="s">
        <v>108</v>
      </c>
      <c r="I3" s="4" t="s">
        <v>38</v>
      </c>
      <c r="J3" s="4" t="s">
        <v>175</v>
      </c>
      <c r="K3" s="4" t="s">
        <v>50</v>
      </c>
      <c r="L3" s="4" t="s">
        <v>50</v>
      </c>
      <c r="M3" s="4" t="s">
        <v>50</v>
      </c>
      <c r="N3" s="3" t="s">
        <v>166</v>
      </c>
      <c r="O3" s="3" t="str">
        <f t="shared" ref="O3:O20" ca="1" si="1">TEXT($C3,"yyyy年m月d日")</f>
        <v>2025年7月28日</v>
      </c>
      <c r="P3" s="3" t="str">
        <f t="shared" ref="P3:P20" ca="1" si="2">TEXT($C3+$D3,"yyyy年m月d日")</f>
        <v>2025年7月29日</v>
      </c>
      <c r="Q3" s="3" t="str">
        <f t="shared" ref="Q3:Q20" si="3">IF(COUNTIF(D3,"*ignore*"),"1泊",D3 &amp;"泊")</f>
        <v>1泊</v>
      </c>
      <c r="R3" s="3" t="str">
        <f t="shared" ref="R3:R20" ca="1" si="4">_xlfn.CONCAT(O3," 〜 ",P3," ",Q3)</f>
        <v>2025年7月28日 〜 2025年7月29日 1泊</v>
      </c>
      <c r="S3" s="3" t="str">
        <f t="shared" ref="S3:S20" si="5">IF(COUNTIF(E3,"*ignore*"),"1名様",E3 &amp;"名様")</f>
        <v>2名様</v>
      </c>
      <c r="T3" s="3" t="str">
        <f t="shared" ref="T3:T20" si="6">$I3 &amp;"様"</f>
        <v>テスト太郎様</v>
      </c>
      <c r="U3" s="3" t="str">
        <f t="shared" ref="U3:U20" si="7">IF($J3="希望しない", "希望しない", IF($J3="メールでのご連絡", "メール：" &amp; $K3, IF($J3="電話でのご連絡", "電話：" &amp; $L3, "")))</f>
        <v>希望しない</v>
      </c>
      <c r="V3" s="3" t="str">
        <f t="shared" ref="V3:V20" si="8">IF(COUNTIF($M3,"*ignore*"),"なし",$M3)</f>
        <v>なし</v>
      </c>
      <c r="W3" s="3" t="s">
        <v>200</v>
      </c>
    </row>
    <row r="4" spans="1:23">
      <c r="A4" s="4" t="s">
        <v>9</v>
      </c>
      <c r="B4" s="4" t="s">
        <v>136</v>
      </c>
      <c r="C4" s="10" t="str">
        <f t="shared" ca="1" si="0"/>
        <v>2025/07/28</v>
      </c>
      <c r="D4" s="4" t="s">
        <v>173</v>
      </c>
      <c r="E4" s="4" t="s">
        <v>1</v>
      </c>
      <c r="F4" s="4" t="s">
        <v>108</v>
      </c>
      <c r="G4" s="4" t="s">
        <v>108</v>
      </c>
      <c r="H4" s="4" t="s">
        <v>108</v>
      </c>
      <c r="I4" s="4" t="s">
        <v>38</v>
      </c>
      <c r="J4" s="4" t="s">
        <v>175</v>
      </c>
      <c r="K4" s="4" t="s">
        <v>50</v>
      </c>
      <c r="L4" s="4" t="s">
        <v>50</v>
      </c>
      <c r="M4" s="4" t="s">
        <v>50</v>
      </c>
      <c r="N4" s="3" t="s">
        <v>167</v>
      </c>
      <c r="O4" s="3" t="str">
        <f t="shared" ca="1" si="1"/>
        <v>2025年7月28日</v>
      </c>
      <c r="P4" s="3" t="str">
        <f t="shared" ca="1" si="2"/>
        <v>2025年7月29日</v>
      </c>
      <c r="Q4" s="3" t="str">
        <f t="shared" si="3"/>
        <v>1泊</v>
      </c>
      <c r="R4" s="3" t="str">
        <f t="shared" ca="1" si="4"/>
        <v>2025年7月28日 〜 2025年7月29日 1泊</v>
      </c>
      <c r="S4" s="3" t="str">
        <f t="shared" si="5"/>
        <v>1名様</v>
      </c>
      <c r="T4" s="3" t="str">
        <f t="shared" si="6"/>
        <v>テスト太郎様</v>
      </c>
      <c r="U4" s="3" t="str">
        <f t="shared" si="7"/>
        <v>希望しない</v>
      </c>
      <c r="V4" s="3" t="str">
        <f t="shared" si="8"/>
        <v>なし</v>
      </c>
      <c r="W4" s="3" t="s">
        <v>201</v>
      </c>
    </row>
    <row r="5" spans="1:23">
      <c r="A5" s="4" t="s">
        <v>68</v>
      </c>
      <c r="B5" s="4" t="s">
        <v>138</v>
      </c>
      <c r="C5" s="10" t="str">
        <f t="shared" ca="1" si="0"/>
        <v>2025/07/28</v>
      </c>
      <c r="D5" s="4" t="s">
        <v>173</v>
      </c>
      <c r="E5" s="4" t="s">
        <v>1</v>
      </c>
      <c r="F5" s="4" t="s">
        <v>108</v>
      </c>
      <c r="G5" s="4" t="s">
        <v>108</v>
      </c>
      <c r="H5" s="4" t="s">
        <v>108</v>
      </c>
      <c r="I5" s="4" t="s">
        <v>38</v>
      </c>
      <c r="J5" s="4" t="s">
        <v>175</v>
      </c>
      <c r="K5" s="4" t="s">
        <v>50</v>
      </c>
      <c r="L5" s="4" t="s">
        <v>50</v>
      </c>
      <c r="M5" s="4" t="s">
        <v>50</v>
      </c>
      <c r="N5" s="3" t="s">
        <v>168</v>
      </c>
      <c r="O5" s="3" t="str">
        <f t="shared" ca="1" si="1"/>
        <v>2025年7月28日</v>
      </c>
      <c r="P5" s="3" t="str">
        <f t="shared" ca="1" si="2"/>
        <v>2025年7月29日</v>
      </c>
      <c r="Q5" s="3" t="str">
        <f t="shared" si="3"/>
        <v>1泊</v>
      </c>
      <c r="R5" s="3" t="str">
        <f t="shared" ca="1" si="4"/>
        <v>2025年7月28日 〜 2025年7月29日 1泊</v>
      </c>
      <c r="S5" s="3" t="str">
        <f t="shared" si="5"/>
        <v>1名様</v>
      </c>
      <c r="T5" s="3" t="str">
        <f t="shared" si="6"/>
        <v>テスト太郎様</v>
      </c>
      <c r="U5" s="3" t="str">
        <f t="shared" si="7"/>
        <v>希望しない</v>
      </c>
      <c r="V5" s="3" t="str">
        <f t="shared" si="8"/>
        <v>なし</v>
      </c>
      <c r="W5" s="3" t="s">
        <v>202</v>
      </c>
    </row>
    <row r="6" spans="1:23">
      <c r="A6" s="4" t="s">
        <v>89</v>
      </c>
      <c r="B6" s="4" t="s">
        <v>140</v>
      </c>
      <c r="C6" s="10" t="str">
        <f t="shared" ca="1" si="0"/>
        <v>2025/07/28</v>
      </c>
      <c r="D6" s="4" t="s">
        <v>173</v>
      </c>
      <c r="E6" s="4" t="s">
        <v>1</v>
      </c>
      <c r="F6" s="4" t="s">
        <v>108</v>
      </c>
      <c r="G6" s="4" t="s">
        <v>108</v>
      </c>
      <c r="H6" s="4" t="s">
        <v>108</v>
      </c>
      <c r="I6" s="4" t="s">
        <v>38</v>
      </c>
      <c r="J6" s="4" t="s">
        <v>175</v>
      </c>
      <c r="K6" s="4" t="s">
        <v>50</v>
      </c>
      <c r="L6" s="4" t="s">
        <v>50</v>
      </c>
      <c r="M6" s="4" t="s">
        <v>50</v>
      </c>
      <c r="N6" s="3" t="s">
        <v>169</v>
      </c>
      <c r="O6" s="3" t="str">
        <f t="shared" ca="1" si="1"/>
        <v>2025年7月28日</v>
      </c>
      <c r="P6" s="3" t="str">
        <f t="shared" ca="1" si="2"/>
        <v>2025年7月29日</v>
      </c>
      <c r="Q6" s="3" t="str">
        <f t="shared" si="3"/>
        <v>1泊</v>
      </c>
      <c r="R6" s="3" t="str">
        <f t="shared" ca="1" si="4"/>
        <v>2025年7月28日 〜 2025年7月29日 1泊</v>
      </c>
      <c r="S6" s="3" t="str">
        <f t="shared" si="5"/>
        <v>1名様</v>
      </c>
      <c r="T6" s="3" t="str">
        <f t="shared" si="6"/>
        <v>テスト太郎様</v>
      </c>
      <c r="U6" s="3" t="str">
        <f t="shared" si="7"/>
        <v>希望しない</v>
      </c>
      <c r="V6" s="3" t="str">
        <f t="shared" si="8"/>
        <v>なし</v>
      </c>
      <c r="W6" s="3" t="s">
        <v>203</v>
      </c>
    </row>
    <row r="7" spans="1:23">
      <c r="A7" s="4" t="s">
        <v>90</v>
      </c>
      <c r="B7" s="4" t="s">
        <v>142</v>
      </c>
      <c r="C7" s="10" t="str">
        <f t="shared" ca="1" si="0"/>
        <v>2025/07/28</v>
      </c>
      <c r="D7" s="4" t="s">
        <v>173</v>
      </c>
      <c r="E7" s="4" t="s">
        <v>1</v>
      </c>
      <c r="F7" s="4" t="s">
        <v>108</v>
      </c>
      <c r="G7" s="4" t="s">
        <v>108</v>
      </c>
      <c r="H7" s="4" t="s">
        <v>108</v>
      </c>
      <c r="I7" s="4" t="s">
        <v>38</v>
      </c>
      <c r="J7" s="4" t="s">
        <v>175</v>
      </c>
      <c r="K7" s="4" t="s">
        <v>50</v>
      </c>
      <c r="L7" s="4" t="s">
        <v>50</v>
      </c>
      <c r="M7" s="4" t="s">
        <v>50</v>
      </c>
      <c r="N7" s="3" t="s">
        <v>170</v>
      </c>
      <c r="O7" s="3" t="str">
        <f t="shared" ca="1" si="1"/>
        <v>2025年7月28日</v>
      </c>
      <c r="P7" s="3" t="str">
        <f t="shared" ca="1" si="2"/>
        <v>2025年7月29日</v>
      </c>
      <c r="Q7" s="3" t="str">
        <f t="shared" si="3"/>
        <v>1泊</v>
      </c>
      <c r="R7" s="3" t="str">
        <f t="shared" ca="1" si="4"/>
        <v>2025年7月28日 〜 2025年7月29日 1泊</v>
      </c>
      <c r="S7" s="3" t="str">
        <f t="shared" si="5"/>
        <v>1名様</v>
      </c>
      <c r="T7" s="3" t="str">
        <f t="shared" si="6"/>
        <v>テスト太郎様</v>
      </c>
      <c r="U7" s="3" t="str">
        <f t="shared" si="7"/>
        <v>希望しない</v>
      </c>
      <c r="V7" s="3" t="str">
        <f t="shared" si="8"/>
        <v>なし</v>
      </c>
      <c r="W7" s="3" t="s">
        <v>204</v>
      </c>
    </row>
    <row r="8" spans="1:23">
      <c r="A8" s="4" t="s">
        <v>91</v>
      </c>
      <c r="B8" s="4" t="s">
        <v>145</v>
      </c>
      <c r="C8" s="10" t="str">
        <f t="shared" ca="1" si="0"/>
        <v>2025/07/28</v>
      </c>
      <c r="D8" s="4" t="s">
        <v>173</v>
      </c>
      <c r="E8" s="4" t="s">
        <v>1</v>
      </c>
      <c r="F8" s="4" t="s">
        <v>108</v>
      </c>
      <c r="G8" s="4" t="s">
        <v>108</v>
      </c>
      <c r="H8" s="4" t="s">
        <v>108</v>
      </c>
      <c r="I8" s="4" t="s">
        <v>38</v>
      </c>
      <c r="J8" s="4" t="s">
        <v>175</v>
      </c>
      <c r="K8" s="4" t="s">
        <v>50</v>
      </c>
      <c r="L8" s="4" t="s">
        <v>50</v>
      </c>
      <c r="M8" s="4" t="s">
        <v>50</v>
      </c>
      <c r="N8" s="3" t="s">
        <v>171</v>
      </c>
      <c r="O8" s="3" t="str">
        <f t="shared" ca="1" si="1"/>
        <v>2025年7月28日</v>
      </c>
      <c r="P8" s="3" t="str">
        <f t="shared" ca="1" si="2"/>
        <v>2025年7月29日</v>
      </c>
      <c r="Q8" s="3" t="str">
        <f t="shared" si="3"/>
        <v>1泊</v>
      </c>
      <c r="R8" s="3" t="str">
        <f t="shared" ca="1" si="4"/>
        <v>2025年7月28日 〜 2025年7月29日 1泊</v>
      </c>
      <c r="S8" s="3" t="str">
        <f t="shared" si="5"/>
        <v>1名様</v>
      </c>
      <c r="T8" s="3" t="str">
        <f t="shared" si="6"/>
        <v>テスト太郎様</v>
      </c>
      <c r="U8" s="3" t="str">
        <f t="shared" si="7"/>
        <v>希望しない</v>
      </c>
      <c r="V8" s="3" t="str">
        <f t="shared" si="8"/>
        <v>なし</v>
      </c>
      <c r="W8" s="3" t="s">
        <v>205</v>
      </c>
    </row>
    <row r="9" spans="1:23">
      <c r="A9" s="4" t="s">
        <v>92</v>
      </c>
      <c r="B9" s="4" t="s">
        <v>146</v>
      </c>
      <c r="C9" s="10" t="str">
        <f t="shared" ca="1" si="0"/>
        <v>2025/07/28</v>
      </c>
      <c r="D9" s="4" t="s">
        <v>173</v>
      </c>
      <c r="E9" s="4" t="s">
        <v>1</v>
      </c>
      <c r="F9" s="4" t="s">
        <v>108</v>
      </c>
      <c r="G9" s="4" t="s">
        <v>108</v>
      </c>
      <c r="H9" s="4" t="s">
        <v>108</v>
      </c>
      <c r="I9" s="4" t="s">
        <v>38</v>
      </c>
      <c r="J9" s="4" t="s">
        <v>175</v>
      </c>
      <c r="K9" s="4" t="s">
        <v>50</v>
      </c>
      <c r="L9" s="4" t="s">
        <v>50</v>
      </c>
      <c r="M9" s="4" t="s">
        <v>50</v>
      </c>
      <c r="N9" s="3" t="s">
        <v>171</v>
      </c>
      <c r="O9" s="3" t="str">
        <f t="shared" ca="1" si="1"/>
        <v>2025年7月28日</v>
      </c>
      <c r="P9" s="3" t="str">
        <f t="shared" ca="1" si="2"/>
        <v>2025年7月29日</v>
      </c>
      <c r="Q9" s="3" t="str">
        <f t="shared" si="3"/>
        <v>1泊</v>
      </c>
      <c r="R9" s="3" t="str">
        <f t="shared" ca="1" si="4"/>
        <v>2025年7月28日 〜 2025年7月29日 1泊</v>
      </c>
      <c r="S9" s="3" t="str">
        <f t="shared" si="5"/>
        <v>1名様</v>
      </c>
      <c r="T9" s="3" t="str">
        <f t="shared" si="6"/>
        <v>テスト太郎様</v>
      </c>
      <c r="U9" s="3" t="str">
        <f t="shared" si="7"/>
        <v>希望しない</v>
      </c>
      <c r="V9" s="3" t="str">
        <f t="shared" si="8"/>
        <v>なし</v>
      </c>
      <c r="W9" s="3" t="s">
        <v>205</v>
      </c>
    </row>
    <row r="10" spans="1:23">
      <c r="A10" s="4" t="s">
        <v>93</v>
      </c>
      <c r="B10" s="4" t="s">
        <v>148</v>
      </c>
      <c r="C10" s="10" t="str">
        <f t="shared" ca="1" si="0"/>
        <v>2025/07/28</v>
      </c>
      <c r="D10" s="4" t="s">
        <v>173</v>
      </c>
      <c r="E10" s="4" t="s">
        <v>8</v>
      </c>
      <c r="F10" s="4" t="s">
        <v>108</v>
      </c>
      <c r="G10" s="4" t="s">
        <v>108</v>
      </c>
      <c r="H10" s="4" t="s">
        <v>108</v>
      </c>
      <c r="I10" s="4" t="s">
        <v>38</v>
      </c>
      <c r="J10" s="4" t="s">
        <v>175</v>
      </c>
      <c r="K10" s="4" t="s">
        <v>50</v>
      </c>
      <c r="L10" s="4" t="s">
        <v>50</v>
      </c>
      <c r="M10" s="4" t="s">
        <v>50</v>
      </c>
      <c r="N10" s="3" t="s">
        <v>172</v>
      </c>
      <c r="O10" s="3" t="str">
        <f t="shared" ca="1" si="1"/>
        <v>2025年7月28日</v>
      </c>
      <c r="P10" s="3" t="str">
        <f t="shared" ca="1" si="2"/>
        <v>2025年7月29日</v>
      </c>
      <c r="Q10" s="3" t="str">
        <f t="shared" si="3"/>
        <v>1泊</v>
      </c>
      <c r="R10" s="3" t="str">
        <f t="shared" ca="1" si="4"/>
        <v>2025年7月28日 〜 2025年7月29日 1泊</v>
      </c>
      <c r="S10" s="3" t="str">
        <f t="shared" si="5"/>
        <v>2名様</v>
      </c>
      <c r="T10" s="3" t="str">
        <f t="shared" si="6"/>
        <v>テスト太郎様</v>
      </c>
      <c r="U10" s="3" t="str">
        <f t="shared" si="7"/>
        <v>希望しない</v>
      </c>
      <c r="V10" s="3" t="str">
        <f t="shared" si="8"/>
        <v>なし</v>
      </c>
      <c r="W10" s="3" t="s">
        <v>206</v>
      </c>
    </row>
    <row r="11" spans="1:23">
      <c r="A11" s="4" t="s">
        <v>94</v>
      </c>
      <c r="B11" s="4" t="s">
        <v>150</v>
      </c>
      <c r="C11" s="10" t="str">
        <f t="shared" ca="1" si="0"/>
        <v>2025/07/28</v>
      </c>
      <c r="D11" s="4" t="s">
        <v>173</v>
      </c>
      <c r="E11" s="4" t="s">
        <v>1</v>
      </c>
      <c r="F11" s="4" t="s">
        <v>108</v>
      </c>
      <c r="G11" s="4" t="s">
        <v>108</v>
      </c>
      <c r="H11" s="4" t="s">
        <v>108</v>
      </c>
      <c r="I11" s="4" t="s">
        <v>38</v>
      </c>
      <c r="J11" s="4" t="s">
        <v>175</v>
      </c>
      <c r="K11" s="4" t="s">
        <v>50</v>
      </c>
      <c r="L11" s="4" t="s">
        <v>50</v>
      </c>
      <c r="M11" s="4" t="s">
        <v>50</v>
      </c>
      <c r="N11" s="3" t="s">
        <v>166</v>
      </c>
      <c r="O11" s="3" t="str">
        <f t="shared" ca="1" si="1"/>
        <v>2025年7月28日</v>
      </c>
      <c r="P11" s="3" t="str">
        <f t="shared" ca="1" si="2"/>
        <v>2025年7月29日</v>
      </c>
      <c r="Q11" s="3" t="str">
        <f t="shared" si="3"/>
        <v>1泊</v>
      </c>
      <c r="R11" s="3" t="str">
        <f t="shared" ca="1" si="4"/>
        <v>2025年7月28日 〜 2025年7月29日 1泊</v>
      </c>
      <c r="S11" s="3" t="str">
        <f t="shared" si="5"/>
        <v>1名様</v>
      </c>
      <c r="T11" s="3" t="str">
        <f t="shared" si="6"/>
        <v>テスト太郎様</v>
      </c>
      <c r="U11" s="3" t="str">
        <f t="shared" si="7"/>
        <v>希望しない</v>
      </c>
      <c r="V11" s="3" t="str">
        <f t="shared" si="8"/>
        <v>なし</v>
      </c>
      <c r="W11" s="3" t="s">
        <v>194</v>
      </c>
    </row>
    <row r="12" spans="1:23">
      <c r="A12" s="4" t="s">
        <v>96</v>
      </c>
      <c r="B12" s="4" t="s">
        <v>132</v>
      </c>
      <c r="C12" s="10" t="str">
        <f t="shared" ca="1" si="0"/>
        <v>2025/07/28</v>
      </c>
      <c r="D12" s="4" t="s">
        <v>174</v>
      </c>
      <c r="E12" s="4" t="s">
        <v>1</v>
      </c>
      <c r="F12" s="4" t="s">
        <v>108</v>
      </c>
      <c r="G12" s="4" t="s">
        <v>108</v>
      </c>
      <c r="H12" s="4" t="s">
        <v>108</v>
      </c>
      <c r="I12" s="4" t="s">
        <v>38</v>
      </c>
      <c r="J12" s="4" t="s">
        <v>175</v>
      </c>
      <c r="K12" s="4" t="s">
        <v>50</v>
      </c>
      <c r="L12" s="4" t="s">
        <v>50</v>
      </c>
      <c r="M12" s="4" t="s">
        <v>50</v>
      </c>
      <c r="N12" s="3" t="s">
        <v>165</v>
      </c>
      <c r="O12" s="3" t="str">
        <f t="shared" ca="1" si="1"/>
        <v>2025年7月28日</v>
      </c>
      <c r="P12" s="3" t="str">
        <f t="shared" ca="1" si="2"/>
        <v>2025年8月1日</v>
      </c>
      <c r="Q12" s="3" t="str">
        <f t="shared" si="3"/>
        <v>4泊</v>
      </c>
      <c r="R12" s="3" t="str">
        <f t="shared" ca="1" si="4"/>
        <v>2025年7月28日 〜 2025年8月1日 4泊</v>
      </c>
      <c r="S12" s="3" t="str">
        <f t="shared" si="5"/>
        <v>1名様</v>
      </c>
      <c r="T12" s="3" t="str">
        <f t="shared" si="6"/>
        <v>テスト太郎様</v>
      </c>
      <c r="U12" s="3" t="str">
        <f t="shared" si="7"/>
        <v>希望しない</v>
      </c>
      <c r="V12" s="3" t="str">
        <f t="shared" si="8"/>
        <v>なし</v>
      </c>
      <c r="W12" s="3" t="s">
        <v>207</v>
      </c>
    </row>
    <row r="13" spans="1:23">
      <c r="A13" s="2" t="s">
        <v>95</v>
      </c>
      <c r="B13" s="4" t="s">
        <v>132</v>
      </c>
      <c r="C13" s="10" t="str">
        <f t="shared" ca="1" si="0"/>
        <v>2025/07/28</v>
      </c>
      <c r="D13" s="4" t="s">
        <v>173</v>
      </c>
      <c r="E13" s="4" t="s">
        <v>9</v>
      </c>
      <c r="F13" s="4" t="s">
        <v>108</v>
      </c>
      <c r="G13" s="4" t="s">
        <v>108</v>
      </c>
      <c r="H13" s="4" t="s">
        <v>108</v>
      </c>
      <c r="I13" s="4" t="s">
        <v>38</v>
      </c>
      <c r="J13" s="4" t="s">
        <v>175</v>
      </c>
      <c r="K13" s="4" t="s">
        <v>50</v>
      </c>
      <c r="L13" s="4" t="s">
        <v>50</v>
      </c>
      <c r="M13" s="4" t="s">
        <v>50</v>
      </c>
      <c r="N13" s="3" t="s">
        <v>165</v>
      </c>
      <c r="O13" s="3" t="str">
        <f t="shared" ca="1" si="1"/>
        <v>2025年7月28日</v>
      </c>
      <c r="P13" s="3" t="str">
        <f t="shared" ca="1" si="2"/>
        <v>2025年7月29日</v>
      </c>
      <c r="Q13" s="3" t="str">
        <f t="shared" si="3"/>
        <v>1泊</v>
      </c>
      <c r="R13" s="3" t="str">
        <f t="shared" ca="1" si="4"/>
        <v>2025年7月28日 〜 2025年7月29日 1泊</v>
      </c>
      <c r="S13" s="3" t="str">
        <f t="shared" si="5"/>
        <v>3名様</v>
      </c>
      <c r="T13" s="3" t="str">
        <f t="shared" si="6"/>
        <v>テスト太郎様</v>
      </c>
      <c r="U13" s="3" t="str">
        <f t="shared" si="7"/>
        <v>希望しない</v>
      </c>
      <c r="V13" s="3" t="str">
        <f t="shared" si="8"/>
        <v>なし</v>
      </c>
      <c r="W13" s="3" t="s">
        <v>208</v>
      </c>
    </row>
    <row r="14" spans="1:23">
      <c r="A14" s="4" t="s">
        <v>97</v>
      </c>
      <c r="B14" s="4" t="s">
        <v>132</v>
      </c>
      <c r="C14" s="10" t="str">
        <f t="shared" ca="1" si="0"/>
        <v>2025/07/28</v>
      </c>
      <c r="D14" s="4" t="s">
        <v>173</v>
      </c>
      <c r="E14" s="4" t="s">
        <v>1</v>
      </c>
      <c r="F14" s="4" t="s">
        <v>107</v>
      </c>
      <c r="G14" s="4" t="s">
        <v>107</v>
      </c>
      <c r="H14" s="4" t="s">
        <v>108</v>
      </c>
      <c r="I14" s="4" t="s">
        <v>38</v>
      </c>
      <c r="J14" s="4" t="s">
        <v>175</v>
      </c>
      <c r="K14" s="4" t="s">
        <v>50</v>
      </c>
      <c r="L14" s="4" t="s">
        <v>50</v>
      </c>
      <c r="M14" s="4" t="s">
        <v>50</v>
      </c>
      <c r="N14" s="3" t="s">
        <v>165</v>
      </c>
      <c r="O14" s="3" t="str">
        <f t="shared" ca="1" si="1"/>
        <v>2025年7月28日</v>
      </c>
      <c r="P14" s="3" t="str">
        <f t="shared" ca="1" si="2"/>
        <v>2025年7月29日</v>
      </c>
      <c r="Q14" s="3" t="str">
        <f t="shared" si="3"/>
        <v>1泊</v>
      </c>
      <c r="R14" s="3" t="str">
        <f t="shared" ca="1" si="4"/>
        <v>2025年7月28日 〜 2025年7月29日 1泊</v>
      </c>
      <c r="S14" s="3" t="str">
        <f t="shared" si="5"/>
        <v>1名様</v>
      </c>
      <c r="T14" s="3" t="str">
        <f t="shared" si="6"/>
        <v>テスト太郎様</v>
      </c>
      <c r="U14" s="3" t="str">
        <f t="shared" si="7"/>
        <v>希望しない</v>
      </c>
      <c r="V14" s="3" t="str">
        <f t="shared" si="8"/>
        <v>なし</v>
      </c>
      <c r="W14" s="3" t="s">
        <v>205</v>
      </c>
    </row>
    <row r="15" spans="1:23">
      <c r="A15" s="4" t="s">
        <v>98</v>
      </c>
      <c r="B15" s="4" t="s">
        <v>132</v>
      </c>
      <c r="C15" s="10" t="str">
        <f t="shared" ca="1" si="0"/>
        <v>2025/07/28</v>
      </c>
      <c r="D15" s="4" t="s">
        <v>173</v>
      </c>
      <c r="E15" s="4" t="s">
        <v>1</v>
      </c>
      <c r="F15" s="4" t="s">
        <v>108</v>
      </c>
      <c r="G15" s="4" t="s">
        <v>108</v>
      </c>
      <c r="H15" s="4" t="s">
        <v>108</v>
      </c>
      <c r="I15" s="4" t="s">
        <v>38</v>
      </c>
      <c r="J15" s="4" t="s">
        <v>175</v>
      </c>
      <c r="K15" s="4" t="s">
        <v>50</v>
      </c>
      <c r="L15" s="4" t="s">
        <v>50</v>
      </c>
      <c r="M15" s="4" t="s">
        <v>50</v>
      </c>
      <c r="N15" s="3" t="s">
        <v>165</v>
      </c>
      <c r="O15" s="3" t="str">
        <f t="shared" ca="1" si="1"/>
        <v>2025年7月28日</v>
      </c>
      <c r="P15" s="3" t="str">
        <f t="shared" ca="1" si="2"/>
        <v>2025年7月29日</v>
      </c>
      <c r="Q15" s="3" t="str">
        <f t="shared" si="3"/>
        <v>1泊</v>
      </c>
      <c r="R15" s="3" t="str">
        <f t="shared" ca="1" si="4"/>
        <v>2025年7月28日 〜 2025年7月29日 1泊</v>
      </c>
      <c r="S15" s="3" t="str">
        <f t="shared" si="5"/>
        <v>1名様</v>
      </c>
      <c r="T15" s="3" t="str">
        <f t="shared" si="6"/>
        <v>テスト太郎様</v>
      </c>
      <c r="U15" s="3" t="str">
        <f t="shared" si="7"/>
        <v>希望しない</v>
      </c>
      <c r="V15" s="3" t="str">
        <f t="shared" si="8"/>
        <v>なし</v>
      </c>
      <c r="W15" s="3" t="s">
        <v>199</v>
      </c>
    </row>
    <row r="16" spans="1:23">
      <c r="A16" s="4" t="s">
        <v>99</v>
      </c>
      <c r="B16" s="4" t="s">
        <v>132</v>
      </c>
      <c r="C16" s="10" t="str">
        <f t="shared" ca="1" si="0"/>
        <v>2025/07/28</v>
      </c>
      <c r="D16" s="4" t="s">
        <v>173</v>
      </c>
      <c r="E16" s="4" t="s">
        <v>1</v>
      </c>
      <c r="F16" s="4" t="s">
        <v>108</v>
      </c>
      <c r="G16" s="4" t="s">
        <v>108</v>
      </c>
      <c r="H16" s="4" t="s">
        <v>108</v>
      </c>
      <c r="I16" s="4" t="s">
        <v>38</v>
      </c>
      <c r="J16" s="4" t="s">
        <v>175</v>
      </c>
      <c r="K16" s="4" t="s">
        <v>50</v>
      </c>
      <c r="L16" s="4" t="s">
        <v>50</v>
      </c>
      <c r="M16" s="4" t="s">
        <v>50</v>
      </c>
      <c r="N16" s="3" t="s">
        <v>165</v>
      </c>
      <c r="O16" s="3" t="str">
        <f t="shared" ca="1" si="1"/>
        <v>2025年7月28日</v>
      </c>
      <c r="P16" s="3" t="str">
        <f t="shared" ca="1" si="2"/>
        <v>2025年7月29日</v>
      </c>
      <c r="Q16" s="3" t="str">
        <f t="shared" si="3"/>
        <v>1泊</v>
      </c>
      <c r="R16" s="3" t="str">
        <f t="shared" ca="1" si="4"/>
        <v>2025年7月28日 〜 2025年7月29日 1泊</v>
      </c>
      <c r="S16" s="3" t="str">
        <f t="shared" si="5"/>
        <v>1名様</v>
      </c>
      <c r="T16" s="3" t="str">
        <f t="shared" si="6"/>
        <v>テスト太郎様</v>
      </c>
      <c r="U16" s="3" t="str">
        <f t="shared" si="7"/>
        <v>希望しない</v>
      </c>
      <c r="V16" s="3" t="str">
        <f t="shared" si="8"/>
        <v>なし</v>
      </c>
      <c r="W16" s="3" t="s">
        <v>199</v>
      </c>
    </row>
    <row r="17" spans="1:23">
      <c r="A17" s="4" t="s">
        <v>100</v>
      </c>
      <c r="B17" s="4" t="s">
        <v>132</v>
      </c>
      <c r="C17" s="10" t="str">
        <f t="shared" ca="1" si="0"/>
        <v>2025/07/28</v>
      </c>
      <c r="D17" s="4" t="s">
        <v>173</v>
      </c>
      <c r="E17" s="4" t="s">
        <v>1</v>
      </c>
      <c r="F17" s="4" t="s">
        <v>108</v>
      </c>
      <c r="G17" s="4" t="s">
        <v>108</v>
      </c>
      <c r="H17" s="4" t="s">
        <v>108</v>
      </c>
      <c r="I17" s="4" t="s">
        <v>38</v>
      </c>
      <c r="J17" s="4" t="s">
        <v>178</v>
      </c>
      <c r="K17" t="s">
        <v>181</v>
      </c>
      <c r="L17" s="4" t="s">
        <v>50</v>
      </c>
      <c r="M17" s="4" t="s">
        <v>50</v>
      </c>
      <c r="N17" s="3" t="s">
        <v>165</v>
      </c>
      <c r="O17" s="3" t="str">
        <f t="shared" ca="1" si="1"/>
        <v>2025年7月28日</v>
      </c>
      <c r="P17" s="3" t="str">
        <f t="shared" ca="1" si="2"/>
        <v>2025年7月29日</v>
      </c>
      <c r="Q17" s="3" t="str">
        <f t="shared" si="3"/>
        <v>1泊</v>
      </c>
      <c r="R17" s="3" t="str">
        <f t="shared" ca="1" si="4"/>
        <v>2025年7月28日 〜 2025年7月29日 1泊</v>
      </c>
      <c r="S17" s="3" t="str">
        <f t="shared" si="5"/>
        <v>1名様</v>
      </c>
      <c r="T17" s="3" t="str">
        <f t="shared" si="6"/>
        <v>テスト太郎様</v>
      </c>
      <c r="U17" s="3" t="str">
        <f t="shared" si="7"/>
        <v>メール：TesTes@example.com</v>
      </c>
      <c r="V17" s="3" t="str">
        <f t="shared" si="8"/>
        <v>なし</v>
      </c>
      <c r="W17" s="3" t="s">
        <v>199</v>
      </c>
    </row>
    <row r="18" spans="1:23">
      <c r="A18" s="4" t="s">
        <v>176</v>
      </c>
      <c r="B18" s="4" t="s">
        <v>132</v>
      </c>
      <c r="C18" s="10" t="str">
        <f t="shared" ca="1" si="0"/>
        <v>2025/07/28</v>
      </c>
      <c r="D18" s="4" t="s">
        <v>173</v>
      </c>
      <c r="E18" s="4" t="s">
        <v>1</v>
      </c>
      <c r="F18" s="4" t="s">
        <v>108</v>
      </c>
      <c r="G18" s="4" t="s">
        <v>108</v>
      </c>
      <c r="H18" s="4" t="s">
        <v>108</v>
      </c>
      <c r="I18" s="4" t="s">
        <v>38</v>
      </c>
      <c r="J18" s="4" t="s">
        <v>179</v>
      </c>
      <c r="K18" s="4" t="s">
        <v>50</v>
      </c>
      <c r="L18" s="4" t="s">
        <v>182</v>
      </c>
      <c r="M18" s="4" t="s">
        <v>50</v>
      </c>
      <c r="N18" s="3" t="s">
        <v>165</v>
      </c>
      <c r="O18" s="3" t="str">
        <f t="shared" ca="1" si="1"/>
        <v>2025年7月28日</v>
      </c>
      <c r="P18" s="3" t="str">
        <f t="shared" ca="1" si="2"/>
        <v>2025年7月29日</v>
      </c>
      <c r="Q18" s="3" t="str">
        <f t="shared" si="3"/>
        <v>1泊</v>
      </c>
      <c r="R18" s="3" t="str">
        <f t="shared" ca="1" si="4"/>
        <v>2025年7月28日 〜 2025年7月29日 1泊</v>
      </c>
      <c r="S18" s="3" t="str">
        <f t="shared" si="5"/>
        <v>1名様</v>
      </c>
      <c r="T18" s="3" t="str">
        <f t="shared" si="6"/>
        <v>テスト太郎様</v>
      </c>
      <c r="U18" s="3" t="str">
        <f t="shared" si="7"/>
        <v>電話：01122233344</v>
      </c>
      <c r="V18" s="3" t="str">
        <f t="shared" si="8"/>
        <v>なし</v>
      </c>
      <c r="W18" s="3" t="s">
        <v>199</v>
      </c>
    </row>
    <row r="19" spans="1:23">
      <c r="A19" s="4" t="s">
        <v>177</v>
      </c>
      <c r="B19" s="4" t="s">
        <v>132</v>
      </c>
      <c r="C19" s="10" t="str">
        <f t="shared" ca="1" si="0"/>
        <v>2025/07/28</v>
      </c>
      <c r="D19" s="4" t="s">
        <v>173</v>
      </c>
      <c r="E19" s="4" t="s">
        <v>1</v>
      </c>
      <c r="F19" s="4" t="s">
        <v>108</v>
      </c>
      <c r="G19" s="4" t="s">
        <v>108</v>
      </c>
      <c r="H19" s="4" t="s">
        <v>108</v>
      </c>
      <c r="I19" s="4" t="s">
        <v>38</v>
      </c>
      <c r="J19" s="4" t="s">
        <v>175</v>
      </c>
      <c r="K19" s="4" t="s">
        <v>50</v>
      </c>
      <c r="L19" s="4" t="s">
        <v>50</v>
      </c>
      <c r="M19" s="4" t="s">
        <v>180</v>
      </c>
      <c r="N19" s="3" t="s">
        <v>165</v>
      </c>
      <c r="O19" s="3" t="str">
        <f t="shared" ca="1" si="1"/>
        <v>2025年7月28日</v>
      </c>
      <c r="P19" s="3" t="str">
        <f t="shared" ca="1" si="2"/>
        <v>2025年7月29日</v>
      </c>
      <c r="Q19" s="3" t="str">
        <f t="shared" si="3"/>
        <v>1泊</v>
      </c>
      <c r="R19" s="3" t="str">
        <f t="shared" ca="1" si="4"/>
        <v>2025年7月28日 〜 2025年7月29日 1泊</v>
      </c>
      <c r="S19" s="3" t="str">
        <f t="shared" si="5"/>
        <v>1名様</v>
      </c>
      <c r="T19" s="3" t="str">
        <f t="shared" si="6"/>
        <v>テスト太郎様</v>
      </c>
      <c r="U19" s="3" t="str">
        <f t="shared" si="7"/>
        <v>希望しない</v>
      </c>
      <c r="V19" s="3" t="str">
        <f t="shared" si="8"/>
        <v>テスト予約です。</v>
      </c>
      <c r="W19" s="3" t="s">
        <v>199</v>
      </c>
    </row>
    <row r="20" spans="1:23">
      <c r="A20" s="4" t="s">
        <v>183</v>
      </c>
      <c r="B20" s="4" t="s">
        <v>132</v>
      </c>
      <c r="C20" s="10" t="str">
        <f t="shared" ca="1" si="0"/>
        <v>2025/07/28</v>
      </c>
      <c r="D20" s="4" t="s">
        <v>173</v>
      </c>
      <c r="E20" s="4" t="s">
        <v>1</v>
      </c>
      <c r="F20" s="4" t="s">
        <v>108</v>
      </c>
      <c r="G20" s="4" t="s">
        <v>108</v>
      </c>
      <c r="H20" s="4" t="s">
        <v>108</v>
      </c>
      <c r="I20" s="4" t="s">
        <v>38</v>
      </c>
      <c r="J20" s="4" t="s">
        <v>175</v>
      </c>
      <c r="K20" s="4" t="s">
        <v>50</v>
      </c>
      <c r="L20" s="4" t="s">
        <v>50</v>
      </c>
      <c r="M20" s="4" t="s">
        <v>50</v>
      </c>
      <c r="N20" s="3" t="s">
        <v>165</v>
      </c>
      <c r="O20" s="3" t="str">
        <f t="shared" ca="1" si="1"/>
        <v>2025年7月28日</v>
      </c>
      <c r="P20" s="3" t="str">
        <f t="shared" ca="1" si="2"/>
        <v>2025年7月29日</v>
      </c>
      <c r="Q20" s="3" t="str">
        <f t="shared" si="3"/>
        <v>1泊</v>
      </c>
      <c r="R20" s="3" t="str">
        <f t="shared" ca="1" si="4"/>
        <v>2025年7月28日 〜 2025年7月29日 1泊</v>
      </c>
      <c r="S20" s="3" t="str">
        <f t="shared" si="5"/>
        <v>1名様</v>
      </c>
      <c r="T20" s="3" t="str">
        <f t="shared" si="6"/>
        <v>テスト太郎様</v>
      </c>
      <c r="U20" s="3" t="str">
        <f t="shared" si="7"/>
        <v>希望しない</v>
      </c>
      <c r="V20" s="3" t="str">
        <f t="shared" si="8"/>
        <v>なし</v>
      </c>
      <c r="W20" s="3" t="s">
        <v>199</v>
      </c>
    </row>
  </sheetData>
  <phoneticPr fontId="1"/>
  <dataValidations count="1">
    <dataValidation type="list" allowBlank="1" showInputMessage="1" showErrorMessage="1" sqref="F2:H20" xr:uid="{196054EA-6DF7-4EDD-9F7C-1B69157E6D24}">
      <formula1>"ON,OFF"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DE55-03A5-42D3-89F1-90E367BFC142}">
  <dimension ref="A1:N11"/>
  <sheetViews>
    <sheetView workbookViewId="0"/>
  </sheetViews>
  <sheetFormatPr defaultColWidth="9" defaultRowHeight="18.75"/>
  <cols>
    <col min="1" max="1" width="3.5" style="5" bestFit="1" customWidth="1"/>
    <col min="2" max="2" width="25.5" style="5" bestFit="1" customWidth="1"/>
    <col min="3" max="3" width="11" bestFit="1" customWidth="1"/>
    <col min="4" max="4" width="5.375" style="5" bestFit="1" customWidth="1"/>
    <col min="5" max="9" width="14.75" style="5" customWidth="1"/>
    <col min="10" max="10" width="17.25" style="5" bestFit="1" customWidth="1"/>
    <col min="11" max="11" width="21.75" style="5" bestFit="1" customWidth="1"/>
    <col min="12" max="12" width="14.75" style="5" bestFit="1" customWidth="1"/>
    <col min="13" max="13" width="17.25" style="5" bestFit="1" customWidth="1"/>
    <col min="14" max="14" width="8.875" style="5" bestFit="1" customWidth="1"/>
    <col min="15" max="16384" width="9" style="5"/>
  </cols>
  <sheetData>
    <row r="1" spans="1:14">
      <c r="A1" s="1" t="s">
        <v>0</v>
      </c>
      <c r="B1" s="1" t="s">
        <v>128</v>
      </c>
      <c r="C1" s="9" t="s">
        <v>153</v>
      </c>
      <c r="D1" s="1" t="s">
        <v>154</v>
      </c>
      <c r="E1" s="6" t="s">
        <v>155</v>
      </c>
      <c r="F1" s="6" t="s">
        <v>157</v>
      </c>
      <c r="G1" s="6" t="s">
        <v>156</v>
      </c>
      <c r="H1" s="6" t="s">
        <v>158</v>
      </c>
      <c r="I1" s="6" t="s">
        <v>28</v>
      </c>
      <c r="J1" s="6" t="s">
        <v>159</v>
      </c>
      <c r="K1" s="6" t="s">
        <v>259</v>
      </c>
      <c r="L1" s="6" t="s">
        <v>40</v>
      </c>
      <c r="M1" s="6" t="s">
        <v>160</v>
      </c>
      <c r="N1" s="6" t="s">
        <v>186</v>
      </c>
    </row>
    <row r="2" spans="1:14">
      <c r="A2" s="2" t="s">
        <v>1</v>
      </c>
      <c r="B2" s="4" t="s">
        <v>132</v>
      </c>
      <c r="C2" s="8" t="str">
        <f ca="1">TEXT(TODAY()+7-WEEKDAY(TODAY(),1)+IF(WEEKDAY(TODAY(),1)&lt;FIND("土","日月火水木金土",1),0,7),"yyyy/mm/dd")</f>
        <v>2025/07/26</v>
      </c>
      <c r="D2" s="4" t="s">
        <v>173</v>
      </c>
      <c r="E2" s="4" t="s">
        <v>1</v>
      </c>
      <c r="F2" s="4" t="s">
        <v>108</v>
      </c>
      <c r="G2" s="4" t="s">
        <v>108</v>
      </c>
      <c r="H2" s="4" t="s">
        <v>108</v>
      </c>
      <c r="I2" s="4" t="s">
        <v>38</v>
      </c>
      <c r="J2" s="4" t="s">
        <v>175</v>
      </c>
      <c r="K2" s="4" t="s">
        <v>50</v>
      </c>
      <c r="L2" s="4" t="s">
        <v>50</v>
      </c>
      <c r="M2" s="4" t="s">
        <v>50</v>
      </c>
      <c r="N2" s="3" t="s">
        <v>192</v>
      </c>
    </row>
    <row r="3" spans="1:14">
      <c r="A3" s="4" t="s">
        <v>8</v>
      </c>
      <c r="B3" s="4" t="s">
        <v>132</v>
      </c>
      <c r="C3" s="8" t="str">
        <f ca="1">TEXT(TODAY()+7-WEEKDAY(TODAY(),1)+IF(WEEKDAY(TODAY(),1)&lt;FIND("月","日月火水木金土",1),-5,2),"yyyy/mm/dd")</f>
        <v>2025/07/28</v>
      </c>
      <c r="D3" s="4" t="s">
        <v>187</v>
      </c>
      <c r="E3" s="4" t="s">
        <v>1</v>
      </c>
      <c r="F3" s="4" t="s">
        <v>108</v>
      </c>
      <c r="G3" s="4" t="s">
        <v>108</v>
      </c>
      <c r="H3" s="4" t="s">
        <v>108</v>
      </c>
      <c r="I3" s="4" t="s">
        <v>38</v>
      </c>
      <c r="J3" s="4" t="s">
        <v>175</v>
      </c>
      <c r="K3" s="4" t="s">
        <v>50</v>
      </c>
      <c r="L3" s="4" t="s">
        <v>50</v>
      </c>
      <c r="M3" s="4" t="s">
        <v>50</v>
      </c>
      <c r="N3" s="3" t="s">
        <v>193</v>
      </c>
    </row>
    <row r="4" spans="1:14">
      <c r="A4" s="4" t="s">
        <v>9</v>
      </c>
      <c r="B4" s="4" t="s">
        <v>132</v>
      </c>
      <c r="C4" s="8" t="str">
        <f t="shared" ref="C4:C11" ca="1" si="0">TEXT(TODAY()+7-WEEKDAY(TODAY(),1)+IF(WEEKDAY(TODAY(),1)&lt;FIND("月","日月火水木金土",1),-5,2),"yyyy/mm/dd")</f>
        <v>2025/07/28</v>
      </c>
      <c r="D4" s="4" t="s">
        <v>173</v>
      </c>
      <c r="E4" s="4" t="s">
        <v>8</v>
      </c>
      <c r="F4" s="4" t="s">
        <v>108</v>
      </c>
      <c r="G4" s="4" t="s">
        <v>108</v>
      </c>
      <c r="H4" s="4" t="s">
        <v>108</v>
      </c>
      <c r="I4" s="4" t="s">
        <v>38</v>
      </c>
      <c r="J4" s="4" t="s">
        <v>175</v>
      </c>
      <c r="K4" s="4" t="s">
        <v>50</v>
      </c>
      <c r="L4" s="4" t="s">
        <v>50</v>
      </c>
      <c r="M4" s="4" t="s">
        <v>50</v>
      </c>
      <c r="N4" s="3" t="s">
        <v>193</v>
      </c>
    </row>
    <row r="5" spans="1:14">
      <c r="A5" s="4" t="s">
        <v>68</v>
      </c>
      <c r="B5" s="4" t="s">
        <v>132</v>
      </c>
      <c r="C5" s="8" t="str">
        <f t="shared" ca="1" si="0"/>
        <v>2025/07/28</v>
      </c>
      <c r="D5" s="4" t="s">
        <v>173</v>
      </c>
      <c r="E5" s="4" t="s">
        <v>1</v>
      </c>
      <c r="F5" s="4" t="s">
        <v>107</v>
      </c>
      <c r="G5" s="4" t="s">
        <v>107</v>
      </c>
      <c r="H5" s="4" t="s">
        <v>107</v>
      </c>
      <c r="I5" s="4" t="s">
        <v>38</v>
      </c>
      <c r="J5" s="4" t="s">
        <v>175</v>
      </c>
      <c r="K5" s="4" t="s">
        <v>50</v>
      </c>
      <c r="L5" s="4" t="s">
        <v>50</v>
      </c>
      <c r="M5" s="4" t="s">
        <v>50</v>
      </c>
      <c r="N5" s="3" t="s">
        <v>194</v>
      </c>
    </row>
    <row r="6" spans="1:14">
      <c r="A6" s="4" t="s">
        <v>89</v>
      </c>
      <c r="B6" s="4" t="s">
        <v>132</v>
      </c>
      <c r="C6" s="8" t="str">
        <f t="shared" ca="1" si="0"/>
        <v>2025/07/28</v>
      </c>
      <c r="D6" s="4" t="s">
        <v>187</v>
      </c>
      <c r="E6" s="4" t="s">
        <v>8</v>
      </c>
      <c r="F6" s="4" t="s">
        <v>107</v>
      </c>
      <c r="G6" s="4" t="s">
        <v>108</v>
      </c>
      <c r="H6" s="4" t="s">
        <v>108</v>
      </c>
      <c r="I6" s="4" t="s">
        <v>38</v>
      </c>
      <c r="J6" s="4" t="s">
        <v>175</v>
      </c>
      <c r="K6" s="4" t="s">
        <v>50</v>
      </c>
      <c r="L6" s="4" t="s">
        <v>50</v>
      </c>
      <c r="M6" s="4" t="s">
        <v>50</v>
      </c>
      <c r="N6" s="3" t="s">
        <v>195</v>
      </c>
    </row>
    <row r="7" spans="1:14">
      <c r="A7" s="4" t="s">
        <v>90</v>
      </c>
      <c r="B7" s="4" t="s">
        <v>132</v>
      </c>
      <c r="C7" s="8" t="str">
        <f t="shared" ca="1" si="0"/>
        <v>2025/07/28</v>
      </c>
      <c r="D7" s="4" t="s">
        <v>187</v>
      </c>
      <c r="E7" s="4" t="s">
        <v>8</v>
      </c>
      <c r="F7" s="4" t="s">
        <v>108</v>
      </c>
      <c r="G7" s="4" t="s">
        <v>107</v>
      </c>
      <c r="H7" s="4" t="s">
        <v>108</v>
      </c>
      <c r="I7" s="4" t="s">
        <v>38</v>
      </c>
      <c r="J7" s="4" t="s">
        <v>175</v>
      </c>
      <c r="K7" s="4" t="s">
        <v>50</v>
      </c>
      <c r="L7" s="4" t="s">
        <v>50</v>
      </c>
      <c r="M7" s="4" t="s">
        <v>50</v>
      </c>
      <c r="N7" s="3" t="s">
        <v>196</v>
      </c>
    </row>
    <row r="8" spans="1:14">
      <c r="A8" s="4" t="s">
        <v>91</v>
      </c>
      <c r="B8" s="4" t="s">
        <v>132</v>
      </c>
      <c r="C8" s="8" t="str">
        <f t="shared" ca="1" si="0"/>
        <v>2025/07/28</v>
      </c>
      <c r="D8" s="4" t="s">
        <v>187</v>
      </c>
      <c r="E8" s="4" t="s">
        <v>8</v>
      </c>
      <c r="F8" s="4" t="s">
        <v>108</v>
      </c>
      <c r="G8" s="4" t="s">
        <v>108</v>
      </c>
      <c r="H8" s="4" t="s">
        <v>107</v>
      </c>
      <c r="I8" s="4" t="s">
        <v>38</v>
      </c>
      <c r="J8" s="4" t="s">
        <v>175</v>
      </c>
      <c r="K8" s="4" t="s">
        <v>50</v>
      </c>
      <c r="L8" s="4" t="s">
        <v>50</v>
      </c>
      <c r="M8" s="4" t="s">
        <v>50</v>
      </c>
      <c r="N8" s="3" t="s">
        <v>196</v>
      </c>
    </row>
    <row r="9" spans="1:14">
      <c r="A9" s="4" t="s">
        <v>92</v>
      </c>
      <c r="B9" s="4" t="s">
        <v>132</v>
      </c>
      <c r="C9" s="3" t="s">
        <v>188</v>
      </c>
      <c r="D9" s="4" t="s">
        <v>173</v>
      </c>
      <c r="E9" s="4" t="s">
        <v>1</v>
      </c>
      <c r="F9" s="4" t="s">
        <v>210</v>
      </c>
      <c r="G9" s="4" t="s">
        <v>108</v>
      </c>
      <c r="H9" s="4" t="s">
        <v>108</v>
      </c>
      <c r="I9" s="4" t="s">
        <v>38</v>
      </c>
      <c r="J9" s="4" t="s">
        <v>175</v>
      </c>
      <c r="K9" s="4" t="s">
        <v>50</v>
      </c>
      <c r="L9" s="4" t="s">
        <v>50</v>
      </c>
      <c r="M9" s="4" t="s">
        <v>50</v>
      </c>
      <c r="N9" s="3" t="s">
        <v>191</v>
      </c>
    </row>
    <row r="10" spans="1:14">
      <c r="A10" s="4" t="s">
        <v>93</v>
      </c>
      <c r="B10" s="4" t="s">
        <v>132</v>
      </c>
      <c r="C10" s="8" t="str">
        <f t="shared" ca="1" si="0"/>
        <v>2025/07/28</v>
      </c>
      <c r="D10" s="4" t="s">
        <v>189</v>
      </c>
      <c r="E10" s="4" t="s">
        <v>1</v>
      </c>
      <c r="F10" s="4" t="s">
        <v>108</v>
      </c>
      <c r="G10" s="4" t="s">
        <v>108</v>
      </c>
      <c r="H10" s="4" t="s">
        <v>108</v>
      </c>
      <c r="I10" s="4" t="s">
        <v>38</v>
      </c>
      <c r="J10" s="4" t="s">
        <v>175</v>
      </c>
      <c r="K10" s="4" t="s">
        <v>50</v>
      </c>
      <c r="L10" s="4" t="s">
        <v>50</v>
      </c>
      <c r="M10" s="4" t="s">
        <v>50</v>
      </c>
      <c r="N10" s="3" t="s">
        <v>191</v>
      </c>
    </row>
    <row r="11" spans="1:14">
      <c r="A11" s="4" t="s">
        <v>94</v>
      </c>
      <c r="B11" s="4" t="s">
        <v>132</v>
      </c>
      <c r="C11" s="8" t="str">
        <f t="shared" ca="1" si="0"/>
        <v>2025/07/28</v>
      </c>
      <c r="D11" s="4" t="s">
        <v>173</v>
      </c>
      <c r="E11" s="4" t="s">
        <v>190</v>
      </c>
      <c r="F11" s="4" t="s">
        <v>108</v>
      </c>
      <c r="G11" s="4" t="s">
        <v>108</v>
      </c>
      <c r="H11" s="4" t="s">
        <v>108</v>
      </c>
      <c r="I11" s="4" t="s">
        <v>38</v>
      </c>
      <c r="J11" s="4" t="s">
        <v>175</v>
      </c>
      <c r="K11" s="4" t="s">
        <v>50</v>
      </c>
      <c r="L11" s="4" t="s">
        <v>50</v>
      </c>
      <c r="M11" s="4" t="s">
        <v>50</v>
      </c>
      <c r="N11" s="3" t="s">
        <v>191</v>
      </c>
    </row>
  </sheetData>
  <phoneticPr fontId="1"/>
  <dataValidations count="1">
    <dataValidation type="list" allowBlank="1" showInputMessage="1" showErrorMessage="1" sqref="F2:H11" xr:uid="{7BAB9F84-6490-4BD1-8EA0-13113D8AF4D0}">
      <formula1>"ON,OFF"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FB5A-9085-4871-9DFD-9A84137C58B3}">
  <dimension ref="A1:G4"/>
  <sheetViews>
    <sheetView workbookViewId="0"/>
  </sheetViews>
  <sheetFormatPr defaultRowHeight="18.75"/>
  <cols>
    <col min="2" max="2" width="14.75" bestFit="1" customWidth="1"/>
    <col min="3" max="3" width="21.375" bestFit="1" customWidth="1"/>
    <col min="4" max="4" width="20.125" bestFit="1" customWidth="1"/>
    <col min="5" max="5" width="9.875" bestFit="1" customWidth="1"/>
    <col min="6" max="6" width="9.875" customWidth="1"/>
    <col min="7" max="7" width="12.75" bestFit="1" customWidth="1"/>
  </cols>
  <sheetData>
    <row r="1" spans="1:7">
      <c r="A1" s="1" t="s">
        <v>0</v>
      </c>
      <c r="B1" s="6" t="s">
        <v>29</v>
      </c>
      <c r="C1" s="1" t="s">
        <v>128</v>
      </c>
      <c r="D1" s="1" t="s">
        <v>2</v>
      </c>
      <c r="E1" s="1" t="s">
        <v>3</v>
      </c>
      <c r="F1" s="1" t="s">
        <v>28</v>
      </c>
      <c r="G1" s="1" t="s">
        <v>40</v>
      </c>
    </row>
    <row r="2" spans="1:7">
      <c r="A2" s="4" t="s">
        <v>1</v>
      </c>
      <c r="B2" s="4" t="s">
        <v>124</v>
      </c>
      <c r="C2" s="4" t="s">
        <v>132</v>
      </c>
      <c r="D2" s="3"/>
      <c r="E2" s="4"/>
      <c r="F2" s="4"/>
      <c r="G2" s="4"/>
    </row>
    <row r="3" spans="1:7">
      <c r="A3" s="4" t="s">
        <v>8</v>
      </c>
      <c r="B3" s="4" t="s">
        <v>125</v>
      </c>
      <c r="C3" s="4" t="s">
        <v>132</v>
      </c>
      <c r="D3" s="3" t="s">
        <v>4</v>
      </c>
      <c r="E3" s="4" t="s">
        <v>3</v>
      </c>
      <c r="F3" s="4" t="s">
        <v>211</v>
      </c>
      <c r="G3" s="4" t="s">
        <v>212</v>
      </c>
    </row>
    <row r="4" spans="1:7">
      <c r="A4" s="4" t="s">
        <v>9</v>
      </c>
      <c r="B4" s="4" t="s">
        <v>126</v>
      </c>
      <c r="C4" s="4" t="s">
        <v>132</v>
      </c>
      <c r="D4" s="3" t="s">
        <v>214</v>
      </c>
      <c r="E4" s="4" t="s">
        <v>213</v>
      </c>
      <c r="F4" s="4" t="s">
        <v>215</v>
      </c>
      <c r="G4" s="4" t="s">
        <v>216</v>
      </c>
    </row>
  </sheetData>
  <phoneticPr fontId="1"/>
  <dataValidations count="1">
    <dataValidation type="list" allowBlank="1" showInputMessage="1" showErrorMessage="1" sqref="B2:B4" xr:uid="{A75391EE-5135-42F8-ACC5-35F9BF14B389}">
      <formula1>"ゲスト会員,一般会員,プレミアム会員"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0AF4-3966-48F8-A7DB-67D7232CA2A7}">
  <dimension ref="A1:AD21"/>
  <sheetViews>
    <sheetView workbookViewId="0">
      <selection activeCell="D11" sqref="D11"/>
    </sheetView>
  </sheetViews>
  <sheetFormatPr defaultColWidth="9" defaultRowHeight="18.75"/>
  <cols>
    <col min="1" max="1" width="3.5" style="5" bestFit="1" customWidth="1"/>
    <col min="2" max="2" width="15.125" style="5" bestFit="1" customWidth="1"/>
    <col min="3" max="3" width="25.5" style="5" bestFit="1" customWidth="1"/>
    <col min="4" max="4" width="11.375" bestFit="1" customWidth="1"/>
    <col min="5" max="5" width="5.375" style="5" bestFit="1" customWidth="1"/>
    <col min="6" max="6" width="11.75" style="5" bestFit="1" customWidth="1"/>
    <col min="7" max="7" width="9.5" style="5" bestFit="1" customWidth="1"/>
    <col min="8" max="8" width="14.75" style="5" customWidth="1"/>
    <col min="9" max="9" width="11.5" style="5" bestFit="1" customWidth="1"/>
    <col min="10" max="10" width="33.625" style="5" bestFit="1" customWidth="1"/>
    <col min="11" max="11" width="17.25" style="5" bestFit="1" customWidth="1"/>
    <col min="12" max="13" width="45" style="5" bestFit="1" customWidth="1"/>
    <col min="14" max="14" width="33.625" style="5" bestFit="1" customWidth="1"/>
    <col min="15" max="15" width="39.625" style="5" bestFit="1" customWidth="1"/>
    <col min="16" max="17" width="14.625" style="5" bestFit="1" customWidth="1"/>
    <col min="18" max="18" width="10.5" style="5" bestFit="1" customWidth="1"/>
    <col min="19" max="19" width="35" style="5" bestFit="1" customWidth="1"/>
    <col min="20" max="20" width="18.625" style="5" bestFit="1" customWidth="1"/>
    <col min="21" max="21" width="36.5" style="5" bestFit="1" customWidth="1"/>
    <col min="22" max="22" width="53.25" style="5" bestFit="1" customWidth="1"/>
    <col min="23" max="23" width="17.25" style="5" bestFit="1" customWidth="1"/>
    <col min="24" max="24" width="9" style="5"/>
    <col min="25" max="26" width="35.5" style="5" bestFit="1" customWidth="1"/>
    <col min="27" max="27" width="35.5" style="5" customWidth="1"/>
    <col min="28" max="28" width="35.5" style="5" bestFit="1" customWidth="1"/>
    <col min="29" max="29" width="39.625" style="5" bestFit="1" customWidth="1"/>
    <col min="30" max="30" width="35.5" style="5" bestFit="1" customWidth="1"/>
    <col min="31" max="16384" width="9" style="5"/>
  </cols>
  <sheetData>
    <row r="1" spans="1:30">
      <c r="A1" s="1" t="s">
        <v>0</v>
      </c>
      <c r="B1" s="1" t="s">
        <v>217</v>
      </c>
      <c r="C1" s="1" t="s">
        <v>128</v>
      </c>
      <c r="D1" s="9" t="s">
        <v>153</v>
      </c>
      <c r="E1" s="1" t="s">
        <v>154</v>
      </c>
      <c r="F1" s="6" t="s">
        <v>155</v>
      </c>
      <c r="G1" s="6" t="s">
        <v>157</v>
      </c>
      <c r="H1" s="6" t="s">
        <v>156</v>
      </c>
      <c r="I1" s="6" t="s">
        <v>158</v>
      </c>
      <c r="J1" s="6" t="s">
        <v>28</v>
      </c>
      <c r="K1" s="6" t="s">
        <v>159</v>
      </c>
      <c r="L1" s="6" t="s">
        <v>259</v>
      </c>
      <c r="M1" s="6" t="s">
        <v>40</v>
      </c>
      <c r="N1" s="6" t="s">
        <v>160</v>
      </c>
      <c r="O1" s="6" t="s">
        <v>130</v>
      </c>
      <c r="P1" s="6" t="s">
        <v>184</v>
      </c>
      <c r="Q1" s="6" t="s">
        <v>185</v>
      </c>
      <c r="R1" s="6" t="s">
        <v>161</v>
      </c>
      <c r="S1" s="6" t="s">
        <v>247</v>
      </c>
      <c r="T1" s="6" t="s">
        <v>162</v>
      </c>
      <c r="U1" s="6" t="s">
        <v>209</v>
      </c>
      <c r="V1" s="6" t="s">
        <v>163</v>
      </c>
      <c r="W1" s="6" t="s">
        <v>164</v>
      </c>
      <c r="X1" s="6" t="s">
        <v>186</v>
      </c>
      <c r="Y1" s="6" t="s">
        <v>221</v>
      </c>
      <c r="Z1" s="6" t="s">
        <v>222</v>
      </c>
      <c r="AA1" s="6" t="s">
        <v>226</v>
      </c>
      <c r="AB1" s="6" t="s">
        <v>223</v>
      </c>
      <c r="AC1" s="6" t="s">
        <v>224</v>
      </c>
      <c r="AD1" s="6" t="s">
        <v>225</v>
      </c>
    </row>
    <row r="2" spans="1:30">
      <c r="A2" s="2" t="s">
        <v>1</v>
      </c>
      <c r="B2" s="2" t="s">
        <v>218</v>
      </c>
      <c r="C2" s="4" t="s">
        <v>132</v>
      </c>
      <c r="D2" s="3"/>
      <c r="E2" s="4" t="s">
        <v>173</v>
      </c>
      <c r="F2" s="4" t="s">
        <v>1</v>
      </c>
      <c r="G2" s="4" t="s">
        <v>108</v>
      </c>
      <c r="H2" s="4" t="s">
        <v>108</v>
      </c>
      <c r="I2" s="4" t="s">
        <v>108</v>
      </c>
      <c r="J2" s="4" t="s">
        <v>38</v>
      </c>
      <c r="K2" s="4" t="s">
        <v>175</v>
      </c>
      <c r="L2" s="4" t="s">
        <v>50</v>
      </c>
      <c r="M2" s="4" t="s">
        <v>50</v>
      </c>
      <c r="N2" s="4" t="s">
        <v>50</v>
      </c>
      <c r="O2" s="3" t="s">
        <v>165</v>
      </c>
      <c r="P2" s="3"/>
      <c r="Q2" s="3"/>
      <c r="R2" s="3"/>
      <c r="S2" s="3"/>
      <c r="T2" s="3"/>
      <c r="U2" s="3"/>
      <c r="V2" s="3"/>
      <c r="W2" s="3"/>
      <c r="X2" s="3"/>
      <c r="Y2" s="4" t="s">
        <v>18</v>
      </c>
      <c r="Z2" s="4"/>
      <c r="AA2" s="4"/>
      <c r="AB2" s="4"/>
      <c r="AC2" s="4"/>
      <c r="AD2" s="4"/>
    </row>
    <row r="3" spans="1:30">
      <c r="A3" s="4" t="s">
        <v>8</v>
      </c>
      <c r="B3" s="2" t="s">
        <v>218</v>
      </c>
      <c r="C3" s="4" t="s">
        <v>132</v>
      </c>
      <c r="D3" s="8" t="str">
        <f ca="1">TEXT(TODAY()+7-WEEKDAY(TODAY(),1)+IF(WEEKDAY(TODAY(),1)&lt;FIND("月","日月火水木金土",1),-5,2),"yyyy/mm/dd")</f>
        <v>2025/07/28</v>
      </c>
      <c r="E3" s="4"/>
      <c r="F3" s="4" t="s">
        <v>1</v>
      </c>
      <c r="G3" s="4" t="s">
        <v>108</v>
      </c>
      <c r="H3" s="4" t="s">
        <v>108</v>
      </c>
      <c r="I3" s="4" t="s">
        <v>108</v>
      </c>
      <c r="J3" s="4" t="s">
        <v>38</v>
      </c>
      <c r="K3" s="4" t="s">
        <v>175</v>
      </c>
      <c r="L3" s="4" t="s">
        <v>50</v>
      </c>
      <c r="M3" s="4" t="s">
        <v>50</v>
      </c>
      <c r="N3" s="4" t="s">
        <v>50</v>
      </c>
      <c r="O3" s="3" t="s">
        <v>165</v>
      </c>
      <c r="P3" s="3"/>
      <c r="Q3" s="3"/>
      <c r="R3" s="3"/>
      <c r="S3" s="3"/>
      <c r="T3" s="3"/>
      <c r="U3" s="3"/>
      <c r="V3" s="3"/>
      <c r="W3" s="3"/>
      <c r="X3" s="3"/>
      <c r="Y3" s="4"/>
      <c r="Z3" s="4" t="s">
        <v>18</v>
      </c>
      <c r="AA3" s="4"/>
      <c r="AB3" s="4"/>
      <c r="AC3" s="4"/>
      <c r="AD3" s="4"/>
    </row>
    <row r="4" spans="1:30">
      <c r="A4" s="4" t="s">
        <v>9</v>
      </c>
      <c r="B4" s="2" t="s">
        <v>218</v>
      </c>
      <c r="C4" s="4" t="s">
        <v>132</v>
      </c>
      <c r="D4" s="8" t="str">
        <f t="shared" ref="D4:D7" ca="1" si="0">TEXT(TODAY()+7-WEEKDAY(TODAY(),1)+IF(WEEKDAY(TODAY(),1)&lt;FIND("月","日月火水木金土",1),-5,2),"yyyy/mm/dd")</f>
        <v>2025/07/28</v>
      </c>
      <c r="E4" s="4" t="s">
        <v>173</v>
      </c>
      <c r="F4" s="4"/>
      <c r="G4" s="4" t="s">
        <v>108</v>
      </c>
      <c r="H4" s="4" t="s">
        <v>108</v>
      </c>
      <c r="I4" s="4" t="s">
        <v>108</v>
      </c>
      <c r="J4" s="4" t="s">
        <v>38</v>
      </c>
      <c r="K4" s="4" t="s">
        <v>175</v>
      </c>
      <c r="L4" s="4" t="s">
        <v>50</v>
      </c>
      <c r="M4" s="4" t="s">
        <v>50</v>
      </c>
      <c r="N4" s="4" t="s">
        <v>50</v>
      </c>
      <c r="O4" s="3" t="s">
        <v>165</v>
      </c>
      <c r="P4" s="3"/>
      <c r="Q4" s="3"/>
      <c r="R4" s="3"/>
      <c r="S4" s="3"/>
      <c r="T4" s="3"/>
      <c r="U4" s="3"/>
      <c r="V4" s="3"/>
      <c r="W4" s="3"/>
      <c r="X4" s="3"/>
      <c r="Y4" s="4"/>
      <c r="Z4" s="4"/>
      <c r="AA4" s="4" t="s">
        <v>18</v>
      </c>
      <c r="AB4" s="4"/>
      <c r="AC4" s="4"/>
      <c r="AD4" s="4"/>
    </row>
    <row r="5" spans="1:30">
      <c r="A5" s="4" t="s">
        <v>68</v>
      </c>
      <c r="B5" s="2" t="s">
        <v>218</v>
      </c>
      <c r="C5" s="4" t="s">
        <v>132</v>
      </c>
      <c r="D5" s="8" t="str">
        <f t="shared" ca="1" si="0"/>
        <v>2025/07/28</v>
      </c>
      <c r="E5" s="4" t="s">
        <v>173</v>
      </c>
      <c r="F5" s="4" t="s">
        <v>1</v>
      </c>
      <c r="G5" s="4" t="s">
        <v>108</v>
      </c>
      <c r="H5" s="4" t="s">
        <v>108</v>
      </c>
      <c r="I5" s="4" t="s">
        <v>108</v>
      </c>
      <c r="J5" s="4"/>
      <c r="K5" s="4" t="s">
        <v>175</v>
      </c>
      <c r="L5" s="4" t="s">
        <v>50</v>
      </c>
      <c r="M5" s="4" t="s">
        <v>50</v>
      </c>
      <c r="N5" s="4" t="s">
        <v>50</v>
      </c>
      <c r="O5" s="3" t="s">
        <v>165</v>
      </c>
      <c r="P5" s="3"/>
      <c r="Q5" s="3"/>
      <c r="R5" s="3"/>
      <c r="S5" s="3"/>
      <c r="T5" s="3"/>
      <c r="U5" s="3"/>
      <c r="V5" s="3"/>
      <c r="W5" s="3"/>
      <c r="X5" s="3"/>
      <c r="Y5" s="4"/>
      <c r="Z5" s="4"/>
      <c r="AA5" s="4"/>
      <c r="AB5" s="4" t="s">
        <v>18</v>
      </c>
      <c r="AC5" s="4"/>
      <c r="AD5" s="4"/>
    </row>
    <row r="6" spans="1:30">
      <c r="A6" s="4" t="s">
        <v>89</v>
      </c>
      <c r="B6" s="2" t="s">
        <v>218</v>
      </c>
      <c r="C6" s="4" t="s">
        <v>132</v>
      </c>
      <c r="D6" s="8" t="str">
        <f t="shared" ca="1" si="0"/>
        <v>2025/07/28</v>
      </c>
      <c r="E6" s="4" t="s">
        <v>173</v>
      </c>
      <c r="F6" s="4" t="s">
        <v>1</v>
      </c>
      <c r="G6" s="4" t="s">
        <v>108</v>
      </c>
      <c r="H6" s="4" t="s">
        <v>108</v>
      </c>
      <c r="I6" s="4" t="s">
        <v>108</v>
      </c>
      <c r="J6" s="4" t="s">
        <v>38</v>
      </c>
      <c r="K6" s="4" t="s">
        <v>179</v>
      </c>
      <c r="L6" s="4"/>
      <c r="M6" s="4" t="s">
        <v>50</v>
      </c>
      <c r="N6" s="4" t="s">
        <v>50</v>
      </c>
      <c r="O6" s="3" t="s">
        <v>165</v>
      </c>
      <c r="P6" s="3"/>
      <c r="Q6" s="3"/>
      <c r="R6" s="3"/>
      <c r="S6" s="3"/>
      <c r="T6" s="3"/>
      <c r="U6" s="3"/>
      <c r="V6" s="3"/>
      <c r="W6" s="3"/>
      <c r="X6" s="3"/>
      <c r="Y6" s="4"/>
      <c r="Z6" s="4"/>
      <c r="AA6" s="4"/>
      <c r="AB6" s="4"/>
      <c r="AC6" s="4" t="s">
        <v>18</v>
      </c>
      <c r="AD6" s="4"/>
    </row>
    <row r="7" spans="1:30">
      <c r="A7" s="4" t="s">
        <v>90</v>
      </c>
      <c r="B7" s="2" t="s">
        <v>218</v>
      </c>
      <c r="C7" s="4" t="s">
        <v>132</v>
      </c>
      <c r="D7" s="8" t="str">
        <f t="shared" ca="1" si="0"/>
        <v>2025/07/28</v>
      </c>
      <c r="E7" s="4" t="s">
        <v>173</v>
      </c>
      <c r="F7" s="4" t="s">
        <v>1</v>
      </c>
      <c r="G7" s="4" t="s">
        <v>108</v>
      </c>
      <c r="H7" s="4" t="s">
        <v>108</v>
      </c>
      <c r="I7" s="4" t="s">
        <v>108</v>
      </c>
      <c r="J7" s="4" t="s">
        <v>38</v>
      </c>
      <c r="K7" s="4" t="s">
        <v>178</v>
      </c>
      <c r="L7" s="4" t="s">
        <v>50</v>
      </c>
      <c r="M7" s="4"/>
      <c r="N7" s="4" t="s">
        <v>50</v>
      </c>
      <c r="O7" s="3" t="s">
        <v>165</v>
      </c>
      <c r="P7" s="3"/>
      <c r="Q7" s="3"/>
      <c r="R7" s="3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 t="s">
        <v>18</v>
      </c>
    </row>
    <row r="8" spans="1:30">
      <c r="A8" s="4" t="s">
        <v>91</v>
      </c>
      <c r="B8" s="2" t="s">
        <v>218</v>
      </c>
      <c r="C8" s="4" t="s">
        <v>132</v>
      </c>
      <c r="D8" s="3" t="s">
        <v>227</v>
      </c>
      <c r="E8" s="4" t="s">
        <v>173</v>
      </c>
      <c r="F8" s="4" t="s">
        <v>1</v>
      </c>
      <c r="G8" s="4" t="s">
        <v>108</v>
      </c>
      <c r="H8" s="4" t="s">
        <v>108</v>
      </c>
      <c r="I8" s="4" t="s">
        <v>108</v>
      </c>
      <c r="J8" s="4" t="s">
        <v>38</v>
      </c>
      <c r="K8" s="4" t="s">
        <v>175</v>
      </c>
      <c r="L8" s="4" t="s">
        <v>50</v>
      </c>
      <c r="M8" s="4" t="s">
        <v>50</v>
      </c>
      <c r="N8" s="4" t="s">
        <v>50</v>
      </c>
      <c r="O8" s="3" t="s">
        <v>165</v>
      </c>
      <c r="P8" s="3"/>
      <c r="Q8" s="3"/>
      <c r="R8" s="3"/>
      <c r="S8" s="3"/>
      <c r="T8" s="3"/>
      <c r="U8" s="3"/>
      <c r="V8" s="3"/>
      <c r="W8" s="3"/>
      <c r="X8" s="3"/>
      <c r="Y8" s="4" t="s">
        <v>64</v>
      </c>
      <c r="Z8" s="4"/>
      <c r="AA8" s="4"/>
      <c r="AB8" s="4"/>
      <c r="AC8" s="4"/>
      <c r="AD8" s="4"/>
    </row>
    <row r="9" spans="1:30">
      <c r="A9" s="4" t="s">
        <v>92</v>
      </c>
      <c r="B9" s="2" t="s">
        <v>218</v>
      </c>
      <c r="C9" s="4" t="s">
        <v>132</v>
      </c>
      <c r="D9" s="3" t="s">
        <v>188</v>
      </c>
      <c r="E9" s="4" t="s">
        <v>173</v>
      </c>
      <c r="F9" s="4" t="s">
        <v>1</v>
      </c>
      <c r="G9" s="4" t="s">
        <v>108</v>
      </c>
      <c r="H9" s="4" t="s">
        <v>108</v>
      </c>
      <c r="I9" s="4" t="s">
        <v>108</v>
      </c>
      <c r="J9" s="4" t="s">
        <v>38</v>
      </c>
      <c r="K9" s="4" t="s">
        <v>175</v>
      </c>
      <c r="L9" s="4" t="s">
        <v>50</v>
      </c>
      <c r="M9" s="4" t="s">
        <v>50</v>
      </c>
      <c r="N9" s="4" t="s">
        <v>50</v>
      </c>
      <c r="O9" s="3" t="s">
        <v>165</v>
      </c>
      <c r="P9" s="3"/>
      <c r="Q9" s="3"/>
      <c r="R9" s="3"/>
      <c r="S9" s="3"/>
      <c r="T9" s="3"/>
      <c r="U9" s="3"/>
      <c r="V9" s="3"/>
      <c r="W9" s="3"/>
      <c r="X9" s="3"/>
      <c r="Y9" s="4" t="s">
        <v>228</v>
      </c>
      <c r="Z9" s="4"/>
      <c r="AA9" s="4"/>
      <c r="AB9" s="4"/>
      <c r="AC9" s="4"/>
      <c r="AD9" s="4"/>
    </row>
    <row r="10" spans="1:30">
      <c r="A10" s="4" t="s">
        <v>93</v>
      </c>
      <c r="B10" s="2" t="s">
        <v>218</v>
      </c>
      <c r="C10" s="4" t="s">
        <v>132</v>
      </c>
      <c r="D10" s="4" t="s">
        <v>261</v>
      </c>
      <c r="E10" s="4" t="s">
        <v>173</v>
      </c>
      <c r="F10" s="4" t="s">
        <v>1</v>
      </c>
      <c r="G10" s="4" t="s">
        <v>108</v>
      </c>
      <c r="H10" s="4" t="s">
        <v>108</v>
      </c>
      <c r="I10" s="4" t="s">
        <v>108</v>
      </c>
      <c r="J10" s="4" t="s">
        <v>38</v>
      </c>
      <c r="K10" s="4" t="s">
        <v>175</v>
      </c>
      <c r="L10" s="4" t="s">
        <v>50</v>
      </c>
      <c r="M10" s="4" t="s">
        <v>50</v>
      </c>
      <c r="N10" s="4" t="s">
        <v>50</v>
      </c>
      <c r="O10" s="3" t="s">
        <v>165</v>
      </c>
      <c r="P10" s="3"/>
      <c r="Q10" s="3"/>
      <c r="R10" s="3"/>
      <c r="S10" s="3"/>
      <c r="T10" s="3"/>
      <c r="U10" s="3"/>
      <c r="V10" s="3"/>
      <c r="W10" s="3"/>
      <c r="X10" s="3"/>
      <c r="Y10" s="4" t="s">
        <v>229</v>
      </c>
      <c r="Z10" s="4"/>
      <c r="AA10" s="4"/>
      <c r="AB10" s="4"/>
      <c r="AC10" s="4"/>
      <c r="AD10" s="4"/>
    </row>
    <row r="11" spans="1:30">
      <c r="A11" s="4" t="s">
        <v>230</v>
      </c>
      <c r="B11" s="2" t="s">
        <v>218</v>
      </c>
      <c r="C11" s="4" t="s">
        <v>132</v>
      </c>
      <c r="D11" s="8" t="str">
        <f t="shared" ref="D11:D21" ca="1" si="1">TEXT(TODAY()+7-WEEKDAY(TODAY(),1)+IF(WEEKDAY(TODAY(),1)&lt;FIND("月","日月火水木金土",1),-5,2),"yyyy/mm/dd")</f>
        <v>2025/07/28</v>
      </c>
      <c r="E11" s="4" t="s">
        <v>189</v>
      </c>
      <c r="F11" s="4" t="s">
        <v>1</v>
      </c>
      <c r="G11" s="4" t="s">
        <v>108</v>
      </c>
      <c r="H11" s="4" t="s">
        <v>108</v>
      </c>
      <c r="I11" s="4" t="s">
        <v>108</v>
      </c>
      <c r="J11" s="4" t="s">
        <v>38</v>
      </c>
      <c r="K11" s="4" t="s">
        <v>175</v>
      </c>
      <c r="L11" s="4" t="s">
        <v>50</v>
      </c>
      <c r="M11" s="4" t="s">
        <v>50</v>
      </c>
      <c r="N11" s="4" t="s">
        <v>50</v>
      </c>
      <c r="O11" s="3" t="s">
        <v>165</v>
      </c>
      <c r="P11" s="3"/>
      <c r="Q11" s="3"/>
      <c r="R11" s="3"/>
      <c r="S11" s="3"/>
      <c r="T11" s="3"/>
      <c r="U11" s="3"/>
      <c r="V11" s="3"/>
      <c r="W11" s="3"/>
      <c r="X11" s="3"/>
      <c r="Y11" s="4"/>
      <c r="Z11" s="4" t="s">
        <v>231</v>
      </c>
      <c r="AA11" s="4"/>
      <c r="AB11" s="4"/>
      <c r="AC11" s="4"/>
      <c r="AD11" s="4"/>
    </row>
    <row r="12" spans="1:30">
      <c r="A12" s="4" t="s">
        <v>96</v>
      </c>
      <c r="B12" s="2" t="s">
        <v>218</v>
      </c>
      <c r="C12" s="4" t="s">
        <v>132</v>
      </c>
      <c r="D12" s="8" t="str">
        <f t="shared" ca="1" si="1"/>
        <v>2025/07/28</v>
      </c>
      <c r="E12" s="4" t="s">
        <v>230</v>
      </c>
      <c r="F12" s="4" t="s">
        <v>1</v>
      </c>
      <c r="G12" s="4" t="s">
        <v>108</v>
      </c>
      <c r="H12" s="4" t="s">
        <v>108</v>
      </c>
      <c r="I12" s="4" t="s">
        <v>108</v>
      </c>
      <c r="J12" s="4" t="s">
        <v>38</v>
      </c>
      <c r="K12" s="4" t="s">
        <v>175</v>
      </c>
      <c r="L12" s="4" t="s">
        <v>50</v>
      </c>
      <c r="M12" s="4" t="s">
        <v>50</v>
      </c>
      <c r="N12" s="4" t="s">
        <v>50</v>
      </c>
      <c r="O12" s="3" t="s">
        <v>165</v>
      </c>
      <c r="P12" s="3"/>
      <c r="Q12" s="3"/>
      <c r="R12" s="3"/>
      <c r="S12" s="3"/>
      <c r="T12" s="3"/>
      <c r="U12" s="3"/>
      <c r="V12" s="3"/>
      <c r="W12" s="3"/>
      <c r="X12" s="3"/>
      <c r="Y12" s="4"/>
      <c r="Z12" s="4" t="s">
        <v>232</v>
      </c>
      <c r="AA12" s="4"/>
      <c r="AB12" s="4"/>
      <c r="AC12" s="4"/>
      <c r="AD12" s="4"/>
    </row>
    <row r="13" spans="1:30">
      <c r="A13" s="2" t="s">
        <v>95</v>
      </c>
      <c r="B13" s="2" t="s">
        <v>218</v>
      </c>
      <c r="C13" s="4" t="s">
        <v>132</v>
      </c>
      <c r="D13" s="8" t="str">
        <f t="shared" ca="1" si="1"/>
        <v>2025/07/28</v>
      </c>
      <c r="E13" s="4" t="s">
        <v>173</v>
      </c>
      <c r="F13" s="4" t="s">
        <v>189</v>
      </c>
      <c r="G13" s="4" t="s">
        <v>108</v>
      </c>
      <c r="H13" s="4" t="s">
        <v>108</v>
      </c>
      <c r="I13" s="4" t="s">
        <v>108</v>
      </c>
      <c r="J13" s="4" t="s">
        <v>38</v>
      </c>
      <c r="K13" s="4" t="s">
        <v>175</v>
      </c>
      <c r="L13" s="4" t="s">
        <v>50</v>
      </c>
      <c r="M13" s="4" t="s">
        <v>50</v>
      </c>
      <c r="N13" s="4" t="s">
        <v>50</v>
      </c>
      <c r="O13" s="3" t="s">
        <v>165</v>
      </c>
      <c r="P13" s="3"/>
      <c r="Q13" s="3"/>
      <c r="R13" s="3"/>
      <c r="S13" s="3"/>
      <c r="T13" s="3"/>
      <c r="U13" s="3"/>
      <c r="V13" s="3"/>
      <c r="W13" s="3"/>
      <c r="X13" s="3"/>
      <c r="Y13" s="4"/>
      <c r="Z13" s="4"/>
      <c r="AA13" s="4" t="s">
        <v>231</v>
      </c>
      <c r="AB13" s="4"/>
      <c r="AC13" s="4"/>
      <c r="AD13" s="4"/>
    </row>
    <row r="14" spans="1:30">
      <c r="A14" s="4" t="s">
        <v>97</v>
      </c>
      <c r="B14" s="2" t="s">
        <v>218</v>
      </c>
      <c r="C14" s="4" t="s">
        <v>132</v>
      </c>
      <c r="D14" s="8" t="str">
        <f t="shared" ca="1" si="1"/>
        <v>2025/07/28</v>
      </c>
      <c r="E14" s="4" t="s">
        <v>173</v>
      </c>
      <c r="F14" s="4" t="s">
        <v>94</v>
      </c>
      <c r="G14" s="4" t="s">
        <v>108</v>
      </c>
      <c r="H14" s="4" t="s">
        <v>108</v>
      </c>
      <c r="I14" s="4" t="s">
        <v>108</v>
      </c>
      <c r="J14" s="4" t="s">
        <v>38</v>
      </c>
      <c r="K14" s="4" t="s">
        <v>175</v>
      </c>
      <c r="L14" s="4" t="s">
        <v>50</v>
      </c>
      <c r="M14" s="4" t="s">
        <v>50</v>
      </c>
      <c r="N14" s="4" t="s">
        <v>50</v>
      </c>
      <c r="O14" s="3" t="s">
        <v>165</v>
      </c>
      <c r="P14" s="3"/>
      <c r="Q14" s="3"/>
      <c r="R14" s="3"/>
      <c r="S14" s="3"/>
      <c r="T14" s="3"/>
      <c r="U14" s="3"/>
      <c r="V14" s="3"/>
      <c r="W14" s="3"/>
      <c r="X14" s="3"/>
      <c r="Y14" s="4"/>
      <c r="Z14" s="4"/>
      <c r="AA14" s="4" t="s">
        <v>232</v>
      </c>
      <c r="AB14" s="4"/>
      <c r="AC14" s="4"/>
      <c r="AD14" s="4"/>
    </row>
    <row r="15" spans="1:30">
      <c r="A15" s="4" t="s">
        <v>98</v>
      </c>
      <c r="B15" s="2" t="s">
        <v>218</v>
      </c>
      <c r="C15" s="4" t="s">
        <v>132</v>
      </c>
      <c r="D15" s="8" t="str">
        <f t="shared" ca="1" si="1"/>
        <v>2025/07/28</v>
      </c>
      <c r="E15" s="4" t="s">
        <v>173</v>
      </c>
      <c r="F15" s="4" t="s">
        <v>1</v>
      </c>
      <c r="G15" s="4" t="s">
        <v>108</v>
      </c>
      <c r="H15" s="4" t="s">
        <v>108</v>
      </c>
      <c r="I15" s="4" t="s">
        <v>108</v>
      </c>
      <c r="J15" s="4" t="s">
        <v>38</v>
      </c>
      <c r="K15" s="4" t="s">
        <v>179</v>
      </c>
      <c r="L15" s="4" t="s">
        <v>50</v>
      </c>
      <c r="M15" s="4" t="s">
        <v>235</v>
      </c>
      <c r="N15" s="4" t="s">
        <v>50</v>
      </c>
      <c r="O15" s="3" t="s">
        <v>165</v>
      </c>
      <c r="P15" s="3"/>
      <c r="Q15" s="3"/>
      <c r="R15" s="3"/>
      <c r="S15" s="3"/>
      <c r="T15" s="3"/>
      <c r="U15" s="3"/>
      <c r="V15" s="3"/>
      <c r="W15" s="3"/>
      <c r="X15" s="3"/>
      <c r="Y15" s="4"/>
      <c r="Z15" s="4"/>
      <c r="AA15" s="4"/>
      <c r="AB15" s="4"/>
      <c r="AC15" s="4" t="s">
        <v>63</v>
      </c>
      <c r="AD15" s="4"/>
    </row>
    <row r="16" spans="1:30">
      <c r="A16" s="4" t="s">
        <v>99</v>
      </c>
      <c r="B16" s="2" t="s">
        <v>218</v>
      </c>
      <c r="C16" s="4" t="s">
        <v>132</v>
      </c>
      <c r="D16" s="8" t="str">
        <f t="shared" ca="1" si="1"/>
        <v>2025/07/28</v>
      </c>
      <c r="E16" s="4" t="s">
        <v>173</v>
      </c>
      <c r="F16" s="4" t="s">
        <v>1</v>
      </c>
      <c r="G16" s="4" t="s">
        <v>108</v>
      </c>
      <c r="H16" s="4" t="s">
        <v>108</v>
      </c>
      <c r="I16" s="4" t="s">
        <v>108</v>
      </c>
      <c r="J16" s="4" t="s">
        <v>38</v>
      </c>
      <c r="K16" s="4" t="s">
        <v>179</v>
      </c>
      <c r="L16" s="4" t="s">
        <v>50</v>
      </c>
      <c r="M16" s="4" t="s">
        <v>233</v>
      </c>
      <c r="N16" s="4" t="s">
        <v>50</v>
      </c>
      <c r="O16" s="3" t="s">
        <v>165</v>
      </c>
      <c r="P16" s="3"/>
      <c r="Q16" s="3"/>
      <c r="R16" s="3"/>
      <c r="S16" s="3"/>
      <c r="T16" s="3"/>
      <c r="U16" s="3"/>
      <c r="V16" s="3"/>
      <c r="W16" s="3"/>
      <c r="X16" s="3"/>
      <c r="Y16" s="4"/>
      <c r="Z16" s="4"/>
      <c r="AA16" s="4"/>
      <c r="AB16" s="4"/>
      <c r="AC16" s="4" t="s">
        <v>63</v>
      </c>
      <c r="AD16" s="4"/>
    </row>
    <row r="17" spans="1:30">
      <c r="A17" s="4" t="s">
        <v>100</v>
      </c>
      <c r="B17" s="2" t="s">
        <v>218</v>
      </c>
      <c r="C17" s="4" t="s">
        <v>132</v>
      </c>
      <c r="D17" s="8" t="str">
        <f t="shared" ca="1" si="1"/>
        <v>2025/07/28</v>
      </c>
      <c r="E17" s="4" t="s">
        <v>173</v>
      </c>
      <c r="F17" s="4" t="s">
        <v>1</v>
      </c>
      <c r="G17" s="4" t="s">
        <v>108</v>
      </c>
      <c r="H17" s="4" t="s">
        <v>108</v>
      </c>
      <c r="I17" s="4" t="s">
        <v>108</v>
      </c>
      <c r="J17" s="4" t="s">
        <v>38</v>
      </c>
      <c r="K17" s="4" t="s">
        <v>179</v>
      </c>
      <c r="L17" s="4" t="s">
        <v>50</v>
      </c>
      <c r="M17" s="4" t="s">
        <v>234</v>
      </c>
      <c r="N17" s="4" t="s">
        <v>50</v>
      </c>
      <c r="O17" s="3" t="s">
        <v>165</v>
      </c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  <c r="AA17" s="4"/>
      <c r="AB17" s="4"/>
      <c r="AC17" s="4" t="s">
        <v>63</v>
      </c>
      <c r="AD17" s="4"/>
    </row>
    <row r="18" spans="1:30">
      <c r="A18" s="4" t="s">
        <v>176</v>
      </c>
      <c r="B18" s="2" t="s">
        <v>218</v>
      </c>
      <c r="C18" s="4" t="s">
        <v>132</v>
      </c>
      <c r="D18" s="8" t="str">
        <f t="shared" ca="1" si="1"/>
        <v>2025/07/28</v>
      </c>
      <c r="E18" s="4" t="s">
        <v>173</v>
      </c>
      <c r="F18" s="4" t="s">
        <v>1</v>
      </c>
      <c r="G18" s="4" t="s">
        <v>108</v>
      </c>
      <c r="H18" s="4" t="s">
        <v>108</v>
      </c>
      <c r="I18" s="4" t="s">
        <v>108</v>
      </c>
      <c r="J18" s="4" t="s">
        <v>38</v>
      </c>
      <c r="K18" s="4" t="s">
        <v>178</v>
      </c>
      <c r="L18" s="4" t="s">
        <v>115</v>
      </c>
      <c r="M18" s="4" t="s">
        <v>50</v>
      </c>
      <c r="N18" s="4" t="s">
        <v>50</v>
      </c>
      <c r="O18" s="3" t="s">
        <v>165</v>
      </c>
      <c r="P18" s="3"/>
      <c r="Q18" s="3"/>
      <c r="R18" s="3"/>
      <c r="S18" s="3"/>
      <c r="T18" s="3"/>
      <c r="U18" s="3"/>
      <c r="V18" s="3"/>
      <c r="W18" s="3"/>
      <c r="X18" s="3"/>
      <c r="Y18" s="4"/>
      <c r="Z18" s="4"/>
      <c r="AA18" s="4"/>
      <c r="AB18" s="4"/>
      <c r="AC18" s="4"/>
      <c r="AD18" s="4" t="s">
        <v>19</v>
      </c>
    </row>
    <row r="19" spans="1:30">
      <c r="A19" s="4" t="s">
        <v>177</v>
      </c>
      <c r="B19" s="4" t="s">
        <v>220</v>
      </c>
      <c r="C19" s="4" t="s">
        <v>132</v>
      </c>
      <c r="D19" s="8" t="str">
        <f t="shared" ca="1" si="1"/>
        <v>2025/07/28</v>
      </c>
      <c r="E19" s="4" t="s">
        <v>173</v>
      </c>
      <c r="F19" s="4" t="s">
        <v>1</v>
      </c>
      <c r="G19" s="4" t="s">
        <v>108</v>
      </c>
      <c r="H19" s="4" t="s">
        <v>108</v>
      </c>
      <c r="I19" s="4" t="s">
        <v>108</v>
      </c>
      <c r="J19" s="4" t="s">
        <v>236</v>
      </c>
      <c r="K19" s="4" t="s">
        <v>175</v>
      </c>
      <c r="L19" s="4" t="s">
        <v>50</v>
      </c>
      <c r="M19" s="4" t="s">
        <v>50</v>
      </c>
      <c r="N19" s="4" t="s">
        <v>50</v>
      </c>
      <c r="O19" s="3" t="s">
        <v>165</v>
      </c>
      <c r="P19" s="3" t="str">
        <f t="shared" ref="P19:P21" ca="1" si="2">TEXT($D19,"yyyy年m月d日")</f>
        <v>2025年7月28日</v>
      </c>
      <c r="Q19" s="3" t="str">
        <f t="shared" ref="Q19:Q21" ca="1" si="3">TEXT($D19+$E19,"yyyy年m月d日")</f>
        <v>2025年7月29日</v>
      </c>
      <c r="R19" s="3" t="str">
        <f t="shared" ref="R19:R20" si="4">IF(COUNTIF(E19,"*ignore*"),"1泊",E19 &amp;"泊")</f>
        <v>1泊</v>
      </c>
      <c r="S19" s="3" t="str">
        <f ca="1">_xlfn.CONCAT(P19," 〜 ",Q19," ",R19)</f>
        <v>2025年7月28日 〜 2025年7月29日 1泊</v>
      </c>
      <c r="T19" s="3" t="str">
        <f t="shared" ref="T19:T20" si="5">IF(COUNTIF(F19,"*ignore*"),"1名様",F19 &amp;"名様")</f>
        <v>1名様</v>
      </c>
      <c r="U19" s="3" t="str">
        <f t="shared" ref="U19:U21" si="6">$J19 &amp;"様"</f>
        <v>あアｱ亜aAａＡ123１２３%&amp;％＆😀様</v>
      </c>
      <c r="V19" s="3" t="str">
        <f t="shared" ref="V19:V21" si="7">IF($K19="希望しない", "希望しない", IF($K19="メールでのご連絡", "メール：" &amp; $L19, IF($K19="電話でのご連絡", "電話：" &amp; $M19, "")))</f>
        <v>希望しない</v>
      </c>
      <c r="W19" s="3" t="str">
        <f t="shared" ref="W19:W21" si="8">IF(COUNTIF($N19,"*ignore*"),"なし",$N19)</f>
        <v>なし</v>
      </c>
      <c r="X19" s="3" t="s">
        <v>199</v>
      </c>
      <c r="Y19" s="4"/>
      <c r="Z19" s="4"/>
      <c r="AA19" s="4"/>
      <c r="AB19" s="4"/>
      <c r="AC19" s="4"/>
      <c r="AD19" s="4"/>
    </row>
    <row r="20" spans="1:30">
      <c r="A20" s="4" t="s">
        <v>183</v>
      </c>
      <c r="B20" s="4" t="s">
        <v>220</v>
      </c>
      <c r="C20" s="4" t="s">
        <v>132</v>
      </c>
      <c r="D20" s="8" t="str">
        <f t="shared" ca="1" si="1"/>
        <v>2025/07/28</v>
      </c>
      <c r="E20" s="4" t="s">
        <v>173</v>
      </c>
      <c r="F20" s="4" t="s">
        <v>1</v>
      </c>
      <c r="G20" s="4" t="s">
        <v>108</v>
      </c>
      <c r="H20" s="4" t="s">
        <v>108</v>
      </c>
      <c r="I20" s="4" t="s">
        <v>108</v>
      </c>
      <c r="J20" s="4" t="s">
        <v>38</v>
      </c>
      <c r="K20" s="4" t="s">
        <v>178</v>
      </c>
      <c r="L20" s="4" t="s">
        <v>65</v>
      </c>
      <c r="M20" s="4" t="s">
        <v>50</v>
      </c>
      <c r="N20" s="4" t="s">
        <v>50</v>
      </c>
      <c r="O20" s="3" t="s">
        <v>165</v>
      </c>
      <c r="P20" s="3" t="str">
        <f t="shared" ca="1" si="2"/>
        <v>2025年7月28日</v>
      </c>
      <c r="Q20" s="3" t="str">
        <f t="shared" ca="1" si="3"/>
        <v>2025年7月29日</v>
      </c>
      <c r="R20" s="3" t="str">
        <f t="shared" si="4"/>
        <v>1泊</v>
      </c>
      <c r="S20" s="3" t="str">
        <f t="shared" ref="S20:S21" ca="1" si="9">_xlfn.CONCAT(P20," 〜 ",Q20," ",R20)</f>
        <v>2025年7月28日 〜 2025年7月29日 1泊</v>
      </c>
      <c r="T20" s="3" t="str">
        <f t="shared" si="5"/>
        <v>1名様</v>
      </c>
      <c r="U20" s="3" t="str">
        <f t="shared" si="6"/>
        <v>テスト太郎様</v>
      </c>
      <c r="V20" s="3" t="str">
        <f t="shared" si="7"/>
        <v>メール：abc.123.-!#$%&amp;'*+-/=?^_`{|}~@example.com</v>
      </c>
      <c r="W20" s="3" t="str">
        <f t="shared" si="8"/>
        <v>なし</v>
      </c>
      <c r="X20" s="3" t="s">
        <v>199</v>
      </c>
      <c r="Y20" s="4"/>
      <c r="Z20" s="4"/>
      <c r="AA20" s="4"/>
      <c r="AB20" s="4"/>
      <c r="AC20" s="4"/>
      <c r="AD20" s="4"/>
    </row>
    <row r="21" spans="1:30">
      <c r="A21" s="4" t="s">
        <v>219</v>
      </c>
      <c r="B21" s="4" t="s">
        <v>220</v>
      </c>
      <c r="C21" s="4" t="s">
        <v>132</v>
      </c>
      <c r="D21" s="8" t="str">
        <f t="shared" ca="1" si="1"/>
        <v>2025/07/28</v>
      </c>
      <c r="E21" s="4" t="s">
        <v>173</v>
      </c>
      <c r="F21" s="4" t="s">
        <v>1</v>
      </c>
      <c r="G21" s="4" t="s">
        <v>108</v>
      </c>
      <c r="H21" s="4" t="s">
        <v>108</v>
      </c>
      <c r="I21" s="4" t="s">
        <v>108</v>
      </c>
      <c r="J21" s="4" t="s">
        <v>38</v>
      </c>
      <c r="K21" s="4" t="s">
        <v>175</v>
      </c>
      <c r="L21" s="4" t="s">
        <v>50</v>
      </c>
      <c r="M21" s="4" t="s">
        <v>50</v>
      </c>
      <c r="N21" s="4" t="s">
        <v>67</v>
      </c>
      <c r="O21" s="3" t="s">
        <v>165</v>
      </c>
      <c r="P21" s="3" t="str">
        <f t="shared" ca="1" si="2"/>
        <v>2025年7月28日</v>
      </c>
      <c r="Q21" s="3" t="str">
        <f t="shared" ca="1" si="3"/>
        <v>2025年7月29日</v>
      </c>
      <c r="R21" s="3" t="str">
        <f t="shared" ref="R21" si="10">IF(COUNTIF(E21,"*ignore*"),"1泊",E21 &amp;"泊")</f>
        <v>1泊</v>
      </c>
      <c r="S21" s="3" t="str">
        <f t="shared" ca="1" si="9"/>
        <v>2025年7月28日 〜 2025年7月29日 1泊</v>
      </c>
      <c r="T21" s="3" t="str">
        <f t="shared" ref="T21" si="11">IF(COUNTIF(F21,"*ignore*"),"1名様",F21 &amp;"名様")</f>
        <v>1名様</v>
      </c>
      <c r="U21" s="3" t="str">
        <f t="shared" si="6"/>
        <v>テスト太郎様</v>
      </c>
      <c r="V21" s="3" t="str">
        <f t="shared" si="7"/>
        <v>希望しない</v>
      </c>
      <c r="W21" s="3" t="str">
        <f t="shared" si="8"/>
        <v>あアｱ亜aAａＡ123１２３%&amp;％＆😀</v>
      </c>
      <c r="X21" s="3" t="s">
        <v>199</v>
      </c>
      <c r="Y21" s="4"/>
      <c r="Z21" s="4"/>
      <c r="AA21" s="4"/>
      <c r="AB21" s="4"/>
      <c r="AC21" s="4"/>
      <c r="AD21" s="4"/>
    </row>
  </sheetData>
  <phoneticPr fontId="1"/>
  <dataValidations count="1">
    <dataValidation type="list" allowBlank="1" showInputMessage="1" showErrorMessage="1" sqref="G2:I21" xr:uid="{9629D187-7091-4FC6-AF0F-2D9D46E5690C}">
      <formula1>"ON,OFF"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3047-4C6F-47BB-AB6B-A8A3E2DF7332}">
  <dimension ref="A1:Y65"/>
  <sheetViews>
    <sheetView tabSelected="1" workbookViewId="0"/>
  </sheetViews>
  <sheetFormatPr defaultColWidth="9" defaultRowHeight="18.75"/>
  <cols>
    <col min="1" max="1" width="3.5" style="5" bestFit="1" customWidth="1"/>
    <col min="2" max="2" width="20.125" style="5" bestFit="1" customWidth="1"/>
    <col min="3" max="3" width="9.875" style="5" bestFit="1" customWidth="1"/>
    <col min="4" max="4" width="25.5" style="5" bestFit="1" customWidth="1"/>
    <col min="5" max="5" width="11" bestFit="1" customWidth="1"/>
    <col min="6" max="6" width="14.75" style="5" bestFit="1" customWidth="1"/>
    <col min="7" max="11" width="14.75" style="5" customWidth="1"/>
    <col min="12" max="12" width="17.25" style="5" bestFit="1" customWidth="1"/>
    <col min="13" max="13" width="21.75" style="5" bestFit="1" customWidth="1"/>
    <col min="14" max="14" width="14.75" style="5" bestFit="1" customWidth="1"/>
    <col min="15" max="15" width="17.25" style="5" bestFit="1" customWidth="1"/>
    <col min="16" max="16" width="40.75" style="5" bestFit="1" customWidth="1"/>
    <col min="17" max="18" width="14.625" style="5" bestFit="1" customWidth="1"/>
    <col min="19" max="19" width="10.5" style="5" bestFit="1" customWidth="1"/>
    <col min="20" max="20" width="33.25" style="5" bestFit="1" customWidth="1"/>
    <col min="21" max="22" width="18.625" style="5" bestFit="1" customWidth="1"/>
    <col min="23" max="23" width="29.5" style="5" bestFit="1" customWidth="1"/>
    <col min="24" max="24" width="17.25" style="5" bestFit="1" customWidth="1"/>
    <col min="25" max="16384" width="9" style="5"/>
  </cols>
  <sheetData>
    <row r="1" spans="1:25">
      <c r="A1" s="1" t="s">
        <v>0</v>
      </c>
      <c r="B1" s="1" t="s">
        <v>2</v>
      </c>
      <c r="C1" s="1" t="s">
        <v>3</v>
      </c>
      <c r="D1" s="1" t="s">
        <v>128</v>
      </c>
      <c r="E1" s="9" t="s">
        <v>153</v>
      </c>
      <c r="F1" s="1" t="s">
        <v>154</v>
      </c>
      <c r="G1" s="6" t="s">
        <v>155</v>
      </c>
      <c r="H1" s="6" t="s">
        <v>157</v>
      </c>
      <c r="I1" s="6" t="s">
        <v>156</v>
      </c>
      <c r="J1" s="6" t="s">
        <v>158</v>
      </c>
      <c r="K1" s="6" t="s">
        <v>28</v>
      </c>
      <c r="L1" s="6" t="s">
        <v>159</v>
      </c>
      <c r="M1" s="6" t="s">
        <v>259</v>
      </c>
      <c r="N1" s="6" t="s">
        <v>40</v>
      </c>
      <c r="O1" s="6" t="s">
        <v>160</v>
      </c>
      <c r="P1" s="6" t="s">
        <v>130</v>
      </c>
      <c r="Q1" s="6" t="s">
        <v>184</v>
      </c>
      <c r="R1" s="6" t="s">
        <v>185</v>
      </c>
      <c r="S1" s="6" t="s">
        <v>161</v>
      </c>
      <c r="T1" s="6" t="s">
        <v>247</v>
      </c>
      <c r="U1" s="6" t="s">
        <v>162</v>
      </c>
      <c r="V1" s="6" t="s">
        <v>209</v>
      </c>
      <c r="W1" s="6" t="s">
        <v>163</v>
      </c>
      <c r="X1" s="6" t="s">
        <v>164</v>
      </c>
      <c r="Y1" s="6" t="s">
        <v>186</v>
      </c>
    </row>
    <row r="2" spans="1:25">
      <c r="A2" s="2">
        <v>1</v>
      </c>
      <c r="B2" s="3" t="s">
        <v>4</v>
      </c>
      <c r="C2" s="4" t="s">
        <v>3</v>
      </c>
      <c r="D2" s="4" t="s">
        <v>237</v>
      </c>
      <c r="E2" s="8" t="str">
        <f ca="1">TEXT(TODAY()+7-WEEKDAY(TODAY(),1)+IF(WEEKDAY(TODAY(),1)&lt;FIND("月","日月火水木金土",1),-5,2),"yyyy/mm/dd")</f>
        <v>2025/07/28</v>
      </c>
      <c r="F2" s="4">
        <v>1</v>
      </c>
      <c r="G2" s="4">
        <v>1</v>
      </c>
      <c r="H2" s="4" t="s">
        <v>107</v>
      </c>
      <c r="I2" s="4" t="s">
        <v>107</v>
      </c>
      <c r="J2" s="4" t="s">
        <v>107</v>
      </c>
      <c r="K2" s="4" t="s">
        <v>38</v>
      </c>
      <c r="L2" s="4" t="s">
        <v>175</v>
      </c>
      <c r="M2" s="4" t="s">
        <v>50</v>
      </c>
      <c r="N2" s="4" t="s">
        <v>50</v>
      </c>
      <c r="O2" s="4" t="s">
        <v>50</v>
      </c>
      <c r="P2" s="3" t="s">
        <v>165</v>
      </c>
      <c r="Q2" s="3" t="str">
        <f ca="1">TEXT($E2,"yyyy年m月d日")</f>
        <v>2025年7月28日</v>
      </c>
      <c r="R2" s="3" t="str">
        <f ca="1">TEXT($E2+$F2,"yyyy年m月d日")</f>
        <v>2025年7月29日</v>
      </c>
      <c r="S2" s="3" t="str">
        <f>IF(COUNTIF(F2,"*ignore*"),"1泊",F2 &amp;"泊")</f>
        <v>1泊</v>
      </c>
      <c r="T2" s="3" t="str">
        <f ca="1">_xlfn.CONCAT(Q2," 〜 ",R2," ",S2)</f>
        <v>2025年7月28日 〜 2025年7月29日 1泊</v>
      </c>
      <c r="U2" s="3" t="str">
        <f>IF(COUNTIF(G2,"*ignore*"),"1名様",G2 &amp;"名様")</f>
        <v>1名様</v>
      </c>
      <c r="V2" s="3" t="str">
        <f>$K2 &amp;"様"</f>
        <v>テスト太郎様</v>
      </c>
      <c r="W2" s="3" t="str">
        <f>IF($L2="希望しない", "希望しない", IF($L2="メールでのご連絡", "メール：" &amp; $M2, IF($L2="電話でのご連絡", "電話：" &amp; $N2, "")))</f>
        <v>希望しない</v>
      </c>
      <c r="X2" s="3" t="str">
        <f>IF(COUNTIF($O2,"*ignore*"),"なし",$O2)</f>
        <v>なし</v>
      </c>
      <c r="Y2" s="11" t="s">
        <v>248</v>
      </c>
    </row>
    <row r="3" spans="1:25">
      <c r="A3" s="4">
        <v>2</v>
      </c>
      <c r="B3" s="3" t="s">
        <v>4</v>
      </c>
      <c r="C3" s="4" t="s">
        <v>3</v>
      </c>
      <c r="D3" s="4" t="s">
        <v>238</v>
      </c>
      <c r="E3" s="8" t="str">
        <f t="shared" ref="E3:E25" ca="1" si="0">TEXT(TODAY()+7-WEEKDAY(TODAY(),1)+IF(WEEKDAY(TODAY(),1)&lt;FIND("月","日月火水木金土",1),-5,2),"yyyy/mm/dd")</f>
        <v>2025/07/28</v>
      </c>
      <c r="F3" s="4">
        <v>1</v>
      </c>
      <c r="G3" s="4">
        <v>1</v>
      </c>
      <c r="H3" s="4" t="s">
        <v>107</v>
      </c>
      <c r="I3" s="4" t="s">
        <v>108</v>
      </c>
      <c r="J3" s="4" t="s">
        <v>108</v>
      </c>
      <c r="K3" s="4" t="s">
        <v>38</v>
      </c>
      <c r="L3" s="4" t="s">
        <v>175</v>
      </c>
      <c r="M3" s="4" t="s">
        <v>50</v>
      </c>
      <c r="N3" s="4" t="s">
        <v>50</v>
      </c>
      <c r="O3" s="4" t="s">
        <v>50</v>
      </c>
      <c r="P3" s="3" t="s">
        <v>167</v>
      </c>
      <c r="Q3" s="3" t="str">
        <f t="shared" ref="Q3:Q65" ca="1" si="1">TEXT($E3,"yyyy年m月d日")</f>
        <v>2025年7月28日</v>
      </c>
      <c r="R3" s="3" t="str">
        <f t="shared" ref="R3:R65" ca="1" si="2">TEXT($E3+$F3,"yyyy年m月d日")</f>
        <v>2025年7月29日</v>
      </c>
      <c r="S3" s="3" t="str">
        <f>IF(COUNTIF(F3,"*ignore*"),"1泊",F3 &amp;"泊")</f>
        <v>1泊</v>
      </c>
      <c r="T3" s="3" t="str">
        <f t="shared" ref="T3:T65" ca="1" si="3">_xlfn.CONCAT(Q3," 〜 ",R3," ",S3)</f>
        <v>2025年7月28日 〜 2025年7月29日 1泊</v>
      </c>
      <c r="U3" s="3" t="str">
        <f>IF(COUNTIF(G3,"*ignore*"),"1名様",G3 &amp;"名様")</f>
        <v>1名様</v>
      </c>
      <c r="V3" s="3" t="str">
        <f t="shared" ref="V3:V65" si="4">$K3 &amp;"様"</f>
        <v>テスト太郎様</v>
      </c>
      <c r="W3" s="3" t="str">
        <f>IF($L3="希望しない", "希望しない", IF($L3="メールでのご連絡", "メール：" &amp; $M3, IF($L3="電話でのご連絡", "電話：" &amp; $N3, "")))</f>
        <v>希望しない</v>
      </c>
      <c r="X3" s="3" t="str">
        <f t="shared" ref="X3:X65" si="5">IF(COUNTIF($O3,"*ignore*"),"なし",$O3)</f>
        <v>なし</v>
      </c>
      <c r="Y3" s="11" t="s">
        <v>249</v>
      </c>
    </row>
    <row r="4" spans="1:25">
      <c r="A4" s="4">
        <v>3</v>
      </c>
      <c r="B4" s="3" t="s">
        <v>4</v>
      </c>
      <c r="C4" s="4" t="s">
        <v>3</v>
      </c>
      <c r="D4" s="4" t="s">
        <v>239</v>
      </c>
      <c r="E4" s="8" t="str">
        <f t="shared" ca="1" si="0"/>
        <v>2025/07/28</v>
      </c>
      <c r="F4" s="4">
        <v>1</v>
      </c>
      <c r="G4" s="4">
        <v>1</v>
      </c>
      <c r="H4" s="4" t="s">
        <v>108</v>
      </c>
      <c r="I4" s="4" t="s">
        <v>107</v>
      </c>
      <c r="J4" s="4" t="s">
        <v>108</v>
      </c>
      <c r="K4" s="4" t="s">
        <v>38</v>
      </c>
      <c r="L4" s="4" t="s">
        <v>175</v>
      </c>
      <c r="M4" s="4" t="s">
        <v>50</v>
      </c>
      <c r="N4" s="4" t="s">
        <v>50</v>
      </c>
      <c r="O4" s="4" t="s">
        <v>50</v>
      </c>
      <c r="P4" s="3" t="s">
        <v>170</v>
      </c>
      <c r="Q4" s="3" t="str">
        <f t="shared" ca="1" si="1"/>
        <v>2025年7月28日</v>
      </c>
      <c r="R4" s="3" t="str">
        <f t="shared" ca="1" si="2"/>
        <v>2025年7月29日</v>
      </c>
      <c r="S4" s="3" t="str">
        <f>IF(COUNTIF(F4,"*ignore*"),"1泊",F4 &amp;"泊")</f>
        <v>1泊</v>
      </c>
      <c r="T4" s="3" t="str">
        <f t="shared" ca="1" si="3"/>
        <v>2025年7月28日 〜 2025年7月29日 1泊</v>
      </c>
      <c r="U4" s="3" t="str">
        <f>IF(COUNTIF(G4,"*ignore*"),"1名様",G4 &amp;"名様")</f>
        <v>1名様</v>
      </c>
      <c r="V4" s="3" t="str">
        <f t="shared" si="4"/>
        <v>テスト太郎様</v>
      </c>
      <c r="W4" s="3" t="str">
        <f>IF($L4="希望しない", "希望しない", IF($L4="メールでのご連絡", "メール：" &amp; $M4, IF($L4="電話でのご連絡", "電話：" &amp; $N4, "")))</f>
        <v>希望しない</v>
      </c>
      <c r="X4" s="3" t="str">
        <f t="shared" si="5"/>
        <v>なし</v>
      </c>
      <c r="Y4" s="11" t="s">
        <v>250</v>
      </c>
    </row>
    <row r="5" spans="1:25">
      <c r="A5" s="4">
        <v>4</v>
      </c>
      <c r="B5" s="3" t="s">
        <v>4</v>
      </c>
      <c r="C5" s="4" t="s">
        <v>3</v>
      </c>
      <c r="D5" s="4" t="s">
        <v>240</v>
      </c>
      <c r="E5" s="8" t="str">
        <f t="shared" ca="1" si="0"/>
        <v>2025/07/28</v>
      </c>
      <c r="F5" s="4">
        <v>1</v>
      </c>
      <c r="G5" s="4">
        <v>1</v>
      </c>
      <c r="H5" s="4" t="s">
        <v>108</v>
      </c>
      <c r="I5" s="4" t="s">
        <v>108</v>
      </c>
      <c r="J5" s="4" t="s">
        <v>107</v>
      </c>
      <c r="K5" s="4" t="s">
        <v>38</v>
      </c>
      <c r="L5" s="4" t="s">
        <v>175</v>
      </c>
      <c r="M5" s="4" t="s">
        <v>50</v>
      </c>
      <c r="N5" s="4" t="s">
        <v>50</v>
      </c>
      <c r="O5" s="4" t="s">
        <v>50</v>
      </c>
      <c r="P5" s="3" t="s">
        <v>171</v>
      </c>
      <c r="Q5" s="3" t="str">
        <f t="shared" ca="1" si="1"/>
        <v>2025年7月28日</v>
      </c>
      <c r="R5" s="3" t="str">
        <f t="shared" ca="1" si="2"/>
        <v>2025年7月29日</v>
      </c>
      <c r="S5" s="3" t="str">
        <f>IF(COUNTIF(F5,"*ignore*"),"1泊",F5 &amp;"泊")</f>
        <v>1泊</v>
      </c>
      <c r="T5" s="3" t="str">
        <f t="shared" ca="1" si="3"/>
        <v>2025年7月28日 〜 2025年7月29日 1泊</v>
      </c>
      <c r="U5" s="3" t="str">
        <f>IF(COUNTIF(G5,"*ignore*"),"1名様",G5 &amp;"名様")</f>
        <v>1名様</v>
      </c>
      <c r="V5" s="3" t="str">
        <f t="shared" si="4"/>
        <v>テスト太郎様</v>
      </c>
      <c r="W5" s="3" t="str">
        <f>IF($L5="希望しない", "希望しない", IF($L5="メールでのご連絡", "メール：" &amp; $M5, IF($L5="電話でのご連絡", "電話：" &amp; $N5, "")))</f>
        <v>希望しない</v>
      </c>
      <c r="X5" s="3" t="str">
        <f t="shared" si="5"/>
        <v>なし</v>
      </c>
      <c r="Y5" s="11" t="s">
        <v>248</v>
      </c>
    </row>
    <row r="6" spans="1:25">
      <c r="A6" s="4">
        <v>5</v>
      </c>
      <c r="B6" s="3" t="s">
        <v>4</v>
      </c>
      <c r="C6" s="4" t="s">
        <v>3</v>
      </c>
      <c r="D6" s="4" t="s">
        <v>241</v>
      </c>
      <c r="E6" s="8" t="str">
        <f t="shared" ca="1" si="0"/>
        <v>2025/07/28</v>
      </c>
      <c r="F6" s="4">
        <v>1</v>
      </c>
      <c r="G6" s="4">
        <v>2</v>
      </c>
      <c r="H6" s="4" t="s">
        <v>107</v>
      </c>
      <c r="I6" s="4" t="s">
        <v>107</v>
      </c>
      <c r="J6" s="4" t="s">
        <v>108</v>
      </c>
      <c r="K6" s="4" t="s">
        <v>38</v>
      </c>
      <c r="L6" s="4" t="s">
        <v>175</v>
      </c>
      <c r="M6" s="4" t="s">
        <v>50</v>
      </c>
      <c r="N6" s="4" t="s">
        <v>50</v>
      </c>
      <c r="O6" s="4" t="s">
        <v>50</v>
      </c>
      <c r="P6" s="3" t="s">
        <v>168</v>
      </c>
      <c r="Q6" s="3" t="str">
        <f t="shared" ca="1" si="1"/>
        <v>2025年7月28日</v>
      </c>
      <c r="R6" s="3" t="str">
        <f t="shared" ca="1" si="2"/>
        <v>2025年7月29日</v>
      </c>
      <c r="S6" s="3" t="str">
        <f>IF(COUNTIF(F6,"*ignore*"),"1泊",F6 &amp;"泊")</f>
        <v>1泊</v>
      </c>
      <c r="T6" s="3" t="str">
        <f t="shared" ca="1" si="3"/>
        <v>2025年7月28日 〜 2025年7月29日 1泊</v>
      </c>
      <c r="U6" s="3" t="str">
        <f>IF(COUNTIF(G6,"*ignore*"),"1名様",G6 &amp;"名様")</f>
        <v>2名様</v>
      </c>
      <c r="V6" s="3" t="str">
        <f t="shared" si="4"/>
        <v>テスト太郎様</v>
      </c>
      <c r="W6" s="3" t="str">
        <f>IF($L6="希望しない", "希望しない", IF($L6="メールでのご連絡", "メール：" &amp; $M6, IF($L6="電話でのご連絡", "電話：" &amp; $N6, "")))</f>
        <v>希望しない</v>
      </c>
      <c r="X6" s="3" t="str">
        <f t="shared" si="5"/>
        <v>なし</v>
      </c>
      <c r="Y6" s="11" t="s">
        <v>260</v>
      </c>
    </row>
    <row r="7" spans="1:25">
      <c r="A7" s="4">
        <v>6</v>
      </c>
      <c r="B7" s="3" t="s">
        <v>4</v>
      </c>
      <c r="C7" s="4" t="s">
        <v>3</v>
      </c>
      <c r="D7" s="4" t="s">
        <v>242</v>
      </c>
      <c r="E7" s="8" t="str">
        <f t="shared" ca="1" si="0"/>
        <v>2025/07/28</v>
      </c>
      <c r="F7" s="4">
        <v>1</v>
      </c>
      <c r="G7" s="4">
        <v>2</v>
      </c>
      <c r="H7" s="4" t="s">
        <v>107</v>
      </c>
      <c r="I7" s="4" t="s">
        <v>108</v>
      </c>
      <c r="J7" s="4" t="s">
        <v>107</v>
      </c>
      <c r="K7" s="4" t="s">
        <v>38</v>
      </c>
      <c r="L7" s="4" t="s">
        <v>175</v>
      </c>
      <c r="M7" s="4" t="s">
        <v>50</v>
      </c>
      <c r="N7" s="4" t="s">
        <v>50</v>
      </c>
      <c r="O7" s="4" t="s">
        <v>50</v>
      </c>
      <c r="P7" s="3" t="s">
        <v>169</v>
      </c>
      <c r="Q7" s="3" t="str">
        <f t="shared" ca="1" si="1"/>
        <v>2025年7月28日</v>
      </c>
      <c r="R7" s="3" t="str">
        <f t="shared" ca="1" si="2"/>
        <v>2025年7月29日</v>
      </c>
      <c r="S7" s="3" t="str">
        <f>IF(COUNTIF(F7,"*ignore*"),"1泊",F7 &amp;"泊")</f>
        <v>1泊</v>
      </c>
      <c r="T7" s="3" t="str">
        <f t="shared" ca="1" si="3"/>
        <v>2025年7月28日 〜 2025年7月29日 1泊</v>
      </c>
      <c r="U7" s="3" t="str">
        <f>IF(COUNTIF(G7,"*ignore*"),"1名様",G7 &amp;"名様")</f>
        <v>2名様</v>
      </c>
      <c r="V7" s="3" t="str">
        <f t="shared" si="4"/>
        <v>テスト太郎様</v>
      </c>
      <c r="W7" s="3" t="str">
        <f>IF($L7="希望しない", "希望しない", IF($L7="メールでのご連絡", "メール：" &amp; $M7, IF($L7="電話でのご連絡", "電話：" &amp; $N7, "")))</f>
        <v>希望しない</v>
      </c>
      <c r="X7" s="3" t="str">
        <f t="shared" si="5"/>
        <v>なし</v>
      </c>
      <c r="Y7" s="11" t="s">
        <v>255</v>
      </c>
    </row>
    <row r="8" spans="1:25">
      <c r="A8" s="4">
        <v>7</v>
      </c>
      <c r="B8" s="3" t="s">
        <v>4</v>
      </c>
      <c r="C8" s="4" t="s">
        <v>3</v>
      </c>
      <c r="D8" s="4" t="s">
        <v>243</v>
      </c>
      <c r="E8" s="8" t="str">
        <f t="shared" ca="1" si="0"/>
        <v>2025/07/28</v>
      </c>
      <c r="F8" s="4">
        <v>1</v>
      </c>
      <c r="G8" s="4">
        <v>2</v>
      </c>
      <c r="H8" s="4" t="s">
        <v>108</v>
      </c>
      <c r="I8" s="4" t="s">
        <v>107</v>
      </c>
      <c r="J8" s="4" t="s">
        <v>107</v>
      </c>
      <c r="K8" s="4" t="s">
        <v>38</v>
      </c>
      <c r="L8" s="4" t="s">
        <v>175</v>
      </c>
      <c r="M8" s="4" t="s">
        <v>50</v>
      </c>
      <c r="N8" s="4" t="s">
        <v>50</v>
      </c>
      <c r="O8" s="4" t="s">
        <v>50</v>
      </c>
      <c r="P8" s="3" t="s">
        <v>166</v>
      </c>
      <c r="Q8" s="3" t="str">
        <f t="shared" ca="1" si="1"/>
        <v>2025年7月28日</v>
      </c>
      <c r="R8" s="3" t="str">
        <f t="shared" ca="1" si="2"/>
        <v>2025年7月29日</v>
      </c>
      <c r="S8" s="3" t="str">
        <f>IF(COUNTIF(F8,"*ignore*"),"1泊",F8 &amp;"泊")</f>
        <v>1泊</v>
      </c>
      <c r="T8" s="3" t="str">
        <f t="shared" ca="1" si="3"/>
        <v>2025年7月28日 〜 2025年7月29日 1泊</v>
      </c>
      <c r="U8" s="3" t="str">
        <f>IF(COUNTIF(G8,"*ignore*"),"1名様",G8 &amp;"名様")</f>
        <v>2名様</v>
      </c>
      <c r="V8" s="3" t="str">
        <f t="shared" si="4"/>
        <v>テスト太郎様</v>
      </c>
      <c r="W8" s="3" t="str">
        <f>IF($L8="希望しない", "希望しない", IF($L8="メールでのご連絡", "メール：" &amp; $M8, IF($L8="電話でのご連絡", "電話：" &amp; $N8, "")))</f>
        <v>希望しない</v>
      </c>
      <c r="X8" s="3" t="str">
        <f t="shared" si="5"/>
        <v>なし</v>
      </c>
      <c r="Y8" s="11" t="s">
        <v>257</v>
      </c>
    </row>
    <row r="9" spans="1:25">
      <c r="A9" s="4">
        <v>8</v>
      </c>
      <c r="B9" s="3" t="s">
        <v>4</v>
      </c>
      <c r="C9" s="4" t="s">
        <v>3</v>
      </c>
      <c r="D9" s="4" t="s">
        <v>244</v>
      </c>
      <c r="E9" s="8" t="str">
        <f t="shared" ca="1" si="0"/>
        <v>2025/07/28</v>
      </c>
      <c r="F9" s="4">
        <v>1</v>
      </c>
      <c r="G9" s="4">
        <v>2</v>
      </c>
      <c r="H9" s="4" t="s">
        <v>108</v>
      </c>
      <c r="I9" s="4" t="s">
        <v>108</v>
      </c>
      <c r="J9" s="4" t="s">
        <v>108</v>
      </c>
      <c r="K9" s="4" t="s">
        <v>38</v>
      </c>
      <c r="L9" s="4" t="s">
        <v>175</v>
      </c>
      <c r="M9" s="4" t="s">
        <v>50</v>
      </c>
      <c r="N9" s="4" t="s">
        <v>50</v>
      </c>
      <c r="O9" s="4" t="s">
        <v>50</v>
      </c>
      <c r="P9" s="3" t="s">
        <v>172</v>
      </c>
      <c r="Q9" s="3" t="str">
        <f t="shared" ca="1" si="1"/>
        <v>2025年7月28日</v>
      </c>
      <c r="R9" s="3" t="str">
        <f t="shared" ca="1" si="2"/>
        <v>2025年7月29日</v>
      </c>
      <c r="S9" s="3" t="str">
        <f>IF(COUNTIF(F9,"*ignore*"),"1泊",F9 &amp;"泊")</f>
        <v>1泊</v>
      </c>
      <c r="T9" s="3" t="str">
        <f t="shared" ca="1" si="3"/>
        <v>2025年7月28日 〜 2025年7月29日 1泊</v>
      </c>
      <c r="U9" s="3" t="str">
        <f>IF(COUNTIF(G9,"*ignore*"),"1名様",G9 &amp;"名様")</f>
        <v>2名様</v>
      </c>
      <c r="V9" s="3" t="str">
        <f t="shared" si="4"/>
        <v>テスト太郎様</v>
      </c>
      <c r="W9" s="3" t="str">
        <f>IF($L9="希望しない", "希望しない", IF($L9="メールでのご連絡", "メール：" &amp; $M9, IF($L9="電話でのご連絡", "電話：" &amp; $N9, "")))</f>
        <v>希望しない</v>
      </c>
      <c r="X9" s="3" t="str">
        <f t="shared" si="5"/>
        <v>なし</v>
      </c>
      <c r="Y9" s="11" t="s">
        <v>260</v>
      </c>
    </row>
    <row r="10" spans="1:25">
      <c r="A10" s="4">
        <v>9</v>
      </c>
      <c r="B10" s="3" t="s">
        <v>4</v>
      </c>
      <c r="C10" s="4" t="s">
        <v>3</v>
      </c>
      <c r="D10" s="4" t="s">
        <v>238</v>
      </c>
      <c r="E10" s="8" t="str">
        <f t="shared" ca="1" si="0"/>
        <v>2025/07/28</v>
      </c>
      <c r="F10" s="4">
        <v>1</v>
      </c>
      <c r="G10" s="4">
        <v>1</v>
      </c>
      <c r="H10" s="4" t="s">
        <v>107</v>
      </c>
      <c r="I10" s="4" t="s">
        <v>107</v>
      </c>
      <c r="J10" s="4" t="s">
        <v>108</v>
      </c>
      <c r="K10" s="4" t="s">
        <v>38</v>
      </c>
      <c r="L10" s="4" t="s">
        <v>175</v>
      </c>
      <c r="M10" s="4" t="s">
        <v>50</v>
      </c>
      <c r="N10" s="4" t="s">
        <v>50</v>
      </c>
      <c r="O10" s="4" t="s">
        <v>50</v>
      </c>
      <c r="P10" s="3" t="s">
        <v>167</v>
      </c>
      <c r="Q10" s="3" t="str">
        <f t="shared" ca="1" si="1"/>
        <v>2025年7月28日</v>
      </c>
      <c r="R10" s="3" t="str">
        <f t="shared" ca="1" si="2"/>
        <v>2025年7月29日</v>
      </c>
      <c r="S10" s="3" t="str">
        <f>IF(COUNTIF(F10,"*ignore*"),"1泊",F10 &amp;"泊")</f>
        <v>1泊</v>
      </c>
      <c r="T10" s="3" t="str">
        <f t="shared" ca="1" si="3"/>
        <v>2025年7月28日 〜 2025年7月29日 1泊</v>
      </c>
      <c r="U10" s="3" t="str">
        <f>IF(COUNTIF(G10,"*ignore*"),"1名様",G10 &amp;"名様")</f>
        <v>1名様</v>
      </c>
      <c r="V10" s="3" t="str">
        <f t="shared" si="4"/>
        <v>テスト太郎様</v>
      </c>
      <c r="W10" s="3" t="str">
        <f>IF($L10="希望しない", "希望しない", IF($L10="メールでのご連絡", "メール：" &amp; $M10, IF($L10="電話でのご連絡", "電話：" &amp; $N10, "")))</f>
        <v>希望しない</v>
      </c>
      <c r="X10" s="3" t="str">
        <f t="shared" si="5"/>
        <v>なし</v>
      </c>
      <c r="Y10" s="11" t="s">
        <v>251</v>
      </c>
    </row>
    <row r="11" spans="1:25">
      <c r="A11" s="4">
        <v>10</v>
      </c>
      <c r="B11" s="3" t="s">
        <v>4</v>
      </c>
      <c r="C11" s="4" t="s">
        <v>3</v>
      </c>
      <c r="D11" s="4" t="s">
        <v>239</v>
      </c>
      <c r="E11" s="8" t="str">
        <f t="shared" ca="1" si="0"/>
        <v>2025/07/28</v>
      </c>
      <c r="F11" s="4">
        <v>1</v>
      </c>
      <c r="G11" s="4">
        <v>1</v>
      </c>
      <c r="H11" s="4" t="s">
        <v>107</v>
      </c>
      <c r="I11" s="4" t="s">
        <v>108</v>
      </c>
      <c r="J11" s="4" t="s">
        <v>107</v>
      </c>
      <c r="K11" s="4" t="s">
        <v>38</v>
      </c>
      <c r="L11" s="4" t="s">
        <v>175</v>
      </c>
      <c r="M11" s="4" t="s">
        <v>50</v>
      </c>
      <c r="N11" s="4" t="s">
        <v>50</v>
      </c>
      <c r="O11" s="4" t="s">
        <v>50</v>
      </c>
      <c r="P11" s="3" t="s">
        <v>170</v>
      </c>
      <c r="Q11" s="3" t="str">
        <f t="shared" ca="1" si="1"/>
        <v>2025年7月28日</v>
      </c>
      <c r="R11" s="3" t="str">
        <f t="shared" ca="1" si="2"/>
        <v>2025年7月29日</v>
      </c>
      <c r="S11" s="3" t="str">
        <f>IF(COUNTIF(F11,"*ignore*"),"1泊",F11 &amp;"泊")</f>
        <v>1泊</v>
      </c>
      <c r="T11" s="3" t="str">
        <f t="shared" ca="1" si="3"/>
        <v>2025年7月28日 〜 2025年7月29日 1泊</v>
      </c>
      <c r="U11" s="3" t="str">
        <f>IF(COUNTIF(G11,"*ignore*"),"1名様",G11 &amp;"名様")</f>
        <v>1名様</v>
      </c>
      <c r="V11" s="3" t="str">
        <f t="shared" si="4"/>
        <v>テスト太郎様</v>
      </c>
      <c r="W11" s="3" t="str">
        <f>IF($L11="希望しない", "希望しない", IF($L11="メールでのご連絡", "メール：" &amp; $M11, IF($L11="電話でのご連絡", "電話：" &amp; $N11, "")))</f>
        <v>希望しない</v>
      </c>
      <c r="X11" s="3" t="str">
        <f t="shared" si="5"/>
        <v>なし</v>
      </c>
      <c r="Y11" s="11" t="s">
        <v>249</v>
      </c>
    </row>
    <row r="12" spans="1:25">
      <c r="A12" s="4">
        <v>11</v>
      </c>
      <c r="B12" s="3" t="s">
        <v>4</v>
      </c>
      <c r="C12" s="4" t="s">
        <v>3</v>
      </c>
      <c r="D12" s="4" t="s">
        <v>240</v>
      </c>
      <c r="E12" s="8" t="str">
        <f t="shared" ca="1" si="0"/>
        <v>2025/07/28</v>
      </c>
      <c r="F12" s="4">
        <v>1</v>
      </c>
      <c r="G12" s="4">
        <v>1</v>
      </c>
      <c r="H12" s="4" t="s">
        <v>108</v>
      </c>
      <c r="I12" s="4" t="s">
        <v>107</v>
      </c>
      <c r="J12" s="4" t="s">
        <v>107</v>
      </c>
      <c r="K12" s="4" t="s">
        <v>38</v>
      </c>
      <c r="L12" s="4" t="s">
        <v>175</v>
      </c>
      <c r="M12" s="4" t="s">
        <v>50</v>
      </c>
      <c r="N12" s="4" t="s">
        <v>50</v>
      </c>
      <c r="O12" s="4" t="s">
        <v>50</v>
      </c>
      <c r="P12" s="3" t="s">
        <v>171</v>
      </c>
      <c r="Q12" s="3" t="str">
        <f t="shared" ca="1" si="1"/>
        <v>2025年7月28日</v>
      </c>
      <c r="R12" s="3" t="str">
        <f t="shared" ca="1" si="2"/>
        <v>2025年7月29日</v>
      </c>
      <c r="S12" s="3" t="str">
        <f>IF(COUNTIF(F12,"*ignore*"),"1泊",F12 &amp;"泊")</f>
        <v>1泊</v>
      </c>
      <c r="T12" s="3" t="str">
        <f t="shared" ca="1" si="3"/>
        <v>2025年7月28日 〜 2025年7月29日 1泊</v>
      </c>
      <c r="U12" s="3" t="str">
        <f>IF(COUNTIF(G12,"*ignore*"),"1名様",G12 &amp;"名様")</f>
        <v>1名様</v>
      </c>
      <c r="V12" s="3" t="str">
        <f t="shared" si="4"/>
        <v>テスト太郎様</v>
      </c>
      <c r="W12" s="3" t="str">
        <f>IF($L12="希望しない", "希望しない", IF($L12="メールでのご連絡", "メール：" &amp; $M12, IF($L12="電話でのご連絡", "電話：" &amp; $N12, "")))</f>
        <v>希望しない</v>
      </c>
      <c r="X12" s="3" t="str">
        <f t="shared" si="5"/>
        <v>なし</v>
      </c>
      <c r="Y12" s="11" t="s">
        <v>252</v>
      </c>
    </row>
    <row r="13" spans="1:25">
      <c r="A13" s="2">
        <v>12</v>
      </c>
      <c r="B13" s="3" t="s">
        <v>4</v>
      </c>
      <c r="C13" s="4" t="s">
        <v>3</v>
      </c>
      <c r="D13" s="4" t="s">
        <v>245</v>
      </c>
      <c r="E13" s="8" t="str">
        <f t="shared" ca="1" si="0"/>
        <v>2025/07/28</v>
      </c>
      <c r="F13" s="4">
        <v>1</v>
      </c>
      <c r="G13" s="4">
        <v>1</v>
      </c>
      <c r="H13" s="4" t="s">
        <v>108</v>
      </c>
      <c r="I13" s="4" t="s">
        <v>108</v>
      </c>
      <c r="J13" s="4" t="s">
        <v>108</v>
      </c>
      <c r="K13" s="4" t="s">
        <v>38</v>
      </c>
      <c r="L13" s="4" t="s">
        <v>175</v>
      </c>
      <c r="M13" s="4" t="s">
        <v>50</v>
      </c>
      <c r="N13" s="4" t="s">
        <v>50</v>
      </c>
      <c r="O13" s="4" t="s">
        <v>50</v>
      </c>
      <c r="P13" s="3" t="s">
        <v>171</v>
      </c>
      <c r="Q13" s="3" t="str">
        <f t="shared" ca="1" si="1"/>
        <v>2025年7月28日</v>
      </c>
      <c r="R13" s="3" t="str">
        <f t="shared" ca="1" si="2"/>
        <v>2025年7月29日</v>
      </c>
      <c r="S13" s="3" t="str">
        <f>IF(COUNTIF(F13,"*ignore*"),"1泊",F13 &amp;"泊")</f>
        <v>1泊</v>
      </c>
      <c r="T13" s="3" t="str">
        <f t="shared" ca="1" si="3"/>
        <v>2025年7月28日 〜 2025年7月29日 1泊</v>
      </c>
      <c r="U13" s="3" t="str">
        <f>IF(COUNTIF(G13,"*ignore*"),"1名様",G13 &amp;"名様")</f>
        <v>1名様</v>
      </c>
      <c r="V13" s="3" t="str">
        <f t="shared" si="4"/>
        <v>テスト太郎様</v>
      </c>
      <c r="W13" s="3" t="str">
        <f>IF($L13="希望しない", "希望しない", IF($L13="メールでのご連絡", "メール：" &amp; $M13, IF($L13="電話でのご連絡", "電話：" &amp; $N13, "")))</f>
        <v>希望しない</v>
      </c>
      <c r="X13" s="3" t="str">
        <f t="shared" si="5"/>
        <v>なし</v>
      </c>
      <c r="Y13" s="11" t="s">
        <v>262</v>
      </c>
    </row>
    <row r="14" spans="1:25">
      <c r="A14" s="4">
        <v>13</v>
      </c>
      <c r="B14" s="3" t="s">
        <v>4</v>
      </c>
      <c r="C14" s="4" t="s">
        <v>3</v>
      </c>
      <c r="D14" s="4" t="s">
        <v>242</v>
      </c>
      <c r="E14" s="8" t="str">
        <f t="shared" ca="1" si="0"/>
        <v>2025/07/28</v>
      </c>
      <c r="F14" s="4">
        <v>1</v>
      </c>
      <c r="G14" s="4">
        <v>2</v>
      </c>
      <c r="H14" s="4" t="s">
        <v>107</v>
      </c>
      <c r="I14" s="4" t="s">
        <v>107</v>
      </c>
      <c r="J14" s="4" t="s">
        <v>107</v>
      </c>
      <c r="K14" s="4" t="s">
        <v>38</v>
      </c>
      <c r="L14" s="4" t="s">
        <v>175</v>
      </c>
      <c r="M14" s="4" t="s">
        <v>50</v>
      </c>
      <c r="N14" s="4" t="s">
        <v>50</v>
      </c>
      <c r="O14" s="4" t="s">
        <v>50</v>
      </c>
      <c r="P14" s="3" t="s">
        <v>169</v>
      </c>
      <c r="Q14" s="3" t="str">
        <f t="shared" ca="1" si="1"/>
        <v>2025年7月28日</v>
      </c>
      <c r="R14" s="3" t="str">
        <f t="shared" ca="1" si="2"/>
        <v>2025年7月29日</v>
      </c>
      <c r="S14" s="3" t="str">
        <f>IF(COUNTIF(F14,"*ignore*"),"1泊",F14 &amp;"泊")</f>
        <v>1泊</v>
      </c>
      <c r="T14" s="3" t="str">
        <f t="shared" ca="1" si="3"/>
        <v>2025年7月28日 〜 2025年7月29日 1泊</v>
      </c>
      <c r="U14" s="3" t="str">
        <f>IF(COUNTIF(G14,"*ignore*"),"1名様",G14 &amp;"名様")</f>
        <v>2名様</v>
      </c>
      <c r="V14" s="3" t="str">
        <f t="shared" si="4"/>
        <v>テスト太郎様</v>
      </c>
      <c r="W14" s="3" t="str">
        <f>IF($L14="希望しない", "希望しない", IF($L14="メールでのご連絡", "メール：" &amp; $M14, IF($L14="電話でのご連絡", "電話：" &amp; $N14, "")))</f>
        <v>希望しない</v>
      </c>
      <c r="X14" s="3" t="str">
        <f t="shared" si="5"/>
        <v>なし</v>
      </c>
      <c r="Y14" s="11" t="s">
        <v>263</v>
      </c>
    </row>
    <row r="15" spans="1:25">
      <c r="A15" s="4">
        <v>14</v>
      </c>
      <c r="B15" s="3" t="s">
        <v>4</v>
      </c>
      <c r="C15" s="4" t="s">
        <v>3</v>
      </c>
      <c r="D15" s="4" t="s">
        <v>243</v>
      </c>
      <c r="E15" s="8" t="str">
        <f t="shared" ca="1" si="0"/>
        <v>2025/07/28</v>
      </c>
      <c r="F15" s="4">
        <v>1</v>
      </c>
      <c r="G15" s="4">
        <v>2</v>
      </c>
      <c r="H15" s="4" t="s">
        <v>107</v>
      </c>
      <c r="I15" s="4" t="s">
        <v>108</v>
      </c>
      <c r="J15" s="4" t="s">
        <v>108</v>
      </c>
      <c r="K15" s="4" t="s">
        <v>38</v>
      </c>
      <c r="L15" s="4" t="s">
        <v>175</v>
      </c>
      <c r="M15" s="4" t="s">
        <v>50</v>
      </c>
      <c r="N15" s="4" t="s">
        <v>50</v>
      </c>
      <c r="O15" s="4" t="s">
        <v>50</v>
      </c>
      <c r="P15" s="3" t="s">
        <v>166</v>
      </c>
      <c r="Q15" s="3" t="str">
        <f t="shared" ca="1" si="1"/>
        <v>2025年7月28日</v>
      </c>
      <c r="R15" s="3" t="str">
        <f t="shared" ca="1" si="2"/>
        <v>2025年7月29日</v>
      </c>
      <c r="S15" s="3" t="str">
        <f>IF(COUNTIF(F15,"*ignore*"),"1泊",F15 &amp;"泊")</f>
        <v>1泊</v>
      </c>
      <c r="T15" s="3" t="str">
        <f t="shared" ca="1" si="3"/>
        <v>2025年7月28日 〜 2025年7月29日 1泊</v>
      </c>
      <c r="U15" s="3" t="str">
        <f>IF(COUNTIF(G15,"*ignore*"),"1名様",G15 &amp;"名様")</f>
        <v>2名様</v>
      </c>
      <c r="V15" s="3" t="str">
        <f t="shared" si="4"/>
        <v>テスト太郎様</v>
      </c>
      <c r="W15" s="3" t="str">
        <f>IF($L15="希望しない", "希望しない", IF($L15="メールでのご連絡", "メール：" &amp; $M15, IF($L15="電話でのご連絡", "電話：" &amp; $N15, "")))</f>
        <v>希望しない</v>
      </c>
      <c r="X15" s="3" t="str">
        <f t="shared" si="5"/>
        <v>なし</v>
      </c>
      <c r="Y15" s="11" t="s">
        <v>256</v>
      </c>
    </row>
    <row r="16" spans="1:25">
      <c r="A16" s="4">
        <v>15</v>
      </c>
      <c r="B16" s="3" t="s">
        <v>4</v>
      </c>
      <c r="C16" s="4" t="s">
        <v>3</v>
      </c>
      <c r="D16" s="4" t="s">
        <v>244</v>
      </c>
      <c r="E16" s="8" t="str">
        <f t="shared" ca="1" si="0"/>
        <v>2025/07/28</v>
      </c>
      <c r="F16" s="4">
        <v>1</v>
      </c>
      <c r="G16" s="4">
        <v>2</v>
      </c>
      <c r="H16" s="4" t="s">
        <v>108</v>
      </c>
      <c r="I16" s="4" t="s">
        <v>107</v>
      </c>
      <c r="J16" s="4" t="s">
        <v>108</v>
      </c>
      <c r="K16" s="4" t="s">
        <v>38</v>
      </c>
      <c r="L16" s="4" t="s">
        <v>175</v>
      </c>
      <c r="M16" s="4" t="s">
        <v>50</v>
      </c>
      <c r="N16" s="4" t="s">
        <v>50</v>
      </c>
      <c r="O16" s="4" t="s">
        <v>50</v>
      </c>
      <c r="P16" s="3" t="s">
        <v>172</v>
      </c>
      <c r="Q16" s="3" t="str">
        <f t="shared" ca="1" si="1"/>
        <v>2025年7月28日</v>
      </c>
      <c r="R16" s="3" t="str">
        <f t="shared" ca="1" si="2"/>
        <v>2025年7月29日</v>
      </c>
      <c r="S16" s="3" t="str">
        <f>IF(COUNTIF(F16,"*ignore*"),"1泊",F16 &amp;"泊")</f>
        <v>1泊</v>
      </c>
      <c r="T16" s="3" t="str">
        <f t="shared" ca="1" si="3"/>
        <v>2025年7月28日 〜 2025年7月29日 1泊</v>
      </c>
      <c r="U16" s="3" t="str">
        <f>IF(COUNTIF(G16,"*ignore*"),"1名様",G16 &amp;"名様")</f>
        <v>2名様</v>
      </c>
      <c r="V16" s="3" t="str">
        <f t="shared" si="4"/>
        <v>テスト太郎様</v>
      </c>
      <c r="W16" s="3" t="str">
        <f>IF($L16="希望しない", "希望しない", IF($L16="メールでのご連絡", "メール：" &amp; $M16, IF($L16="電話でのご連絡", "電話：" &amp; $N16, "")))</f>
        <v>希望しない</v>
      </c>
      <c r="X16" s="3" t="str">
        <f t="shared" si="5"/>
        <v>なし</v>
      </c>
      <c r="Y16" s="11" t="s">
        <v>254</v>
      </c>
    </row>
    <row r="17" spans="1:25">
      <c r="A17" s="4">
        <v>16</v>
      </c>
      <c r="B17" s="3" t="s">
        <v>4</v>
      </c>
      <c r="C17" s="4" t="s">
        <v>3</v>
      </c>
      <c r="D17" s="4" t="s">
        <v>246</v>
      </c>
      <c r="E17" s="8" t="str">
        <f t="shared" ca="1" si="0"/>
        <v>2025/07/28</v>
      </c>
      <c r="F17" s="4">
        <v>1</v>
      </c>
      <c r="G17" s="4">
        <v>2</v>
      </c>
      <c r="H17" s="4" t="s">
        <v>108</v>
      </c>
      <c r="I17" s="4" t="s">
        <v>108</v>
      </c>
      <c r="J17" s="4" t="s">
        <v>107</v>
      </c>
      <c r="K17" s="4" t="s">
        <v>38</v>
      </c>
      <c r="L17" s="4" t="s">
        <v>175</v>
      </c>
      <c r="M17" s="4" t="s">
        <v>50</v>
      </c>
      <c r="N17" s="4" t="s">
        <v>50</v>
      </c>
      <c r="O17" s="4" t="s">
        <v>50</v>
      </c>
      <c r="P17" s="3" t="s">
        <v>166</v>
      </c>
      <c r="Q17" s="3" t="str">
        <f t="shared" ca="1" si="1"/>
        <v>2025年7月28日</v>
      </c>
      <c r="R17" s="3" t="str">
        <f t="shared" ca="1" si="2"/>
        <v>2025年7月29日</v>
      </c>
      <c r="S17" s="3" t="str">
        <f>IF(COUNTIF(F17,"*ignore*"),"1泊",F17 &amp;"泊")</f>
        <v>1泊</v>
      </c>
      <c r="T17" s="3" t="str">
        <f t="shared" ca="1" si="3"/>
        <v>2025年7月28日 〜 2025年7月29日 1泊</v>
      </c>
      <c r="U17" s="3" t="str">
        <f>IF(COUNTIF(G17,"*ignore*"),"1名様",G17 &amp;"名様")</f>
        <v>2名様</v>
      </c>
      <c r="V17" s="3" t="str">
        <f t="shared" si="4"/>
        <v>テスト太郎様</v>
      </c>
      <c r="W17" s="3" t="str">
        <f>IF($L17="希望しない", "希望しない", IF($L17="メールでのご連絡", "メール：" &amp; $M17, IF($L17="電話でのご連絡", "電話：" &amp; $N17, "")))</f>
        <v>希望しない</v>
      </c>
      <c r="X17" s="3" t="str">
        <f t="shared" si="5"/>
        <v>なし</v>
      </c>
      <c r="Y17" s="11" t="s">
        <v>256</v>
      </c>
    </row>
    <row r="18" spans="1:25">
      <c r="A18" s="4">
        <v>17</v>
      </c>
      <c r="B18" s="3" t="s">
        <v>4</v>
      </c>
      <c r="C18" s="4" t="s">
        <v>3</v>
      </c>
      <c r="D18" s="4" t="s">
        <v>239</v>
      </c>
      <c r="E18" s="8" t="str">
        <f t="shared" ca="1" si="0"/>
        <v>2025/07/28</v>
      </c>
      <c r="F18" s="4">
        <v>2</v>
      </c>
      <c r="G18" s="4">
        <v>1</v>
      </c>
      <c r="H18" s="4" t="s">
        <v>107</v>
      </c>
      <c r="I18" s="4" t="s">
        <v>107</v>
      </c>
      <c r="J18" s="4" t="s">
        <v>107</v>
      </c>
      <c r="K18" s="4" t="s">
        <v>38</v>
      </c>
      <c r="L18" s="4" t="s">
        <v>175</v>
      </c>
      <c r="M18" s="4" t="s">
        <v>50</v>
      </c>
      <c r="N18" s="4" t="s">
        <v>50</v>
      </c>
      <c r="O18" s="4" t="s">
        <v>50</v>
      </c>
      <c r="P18" s="3" t="s">
        <v>170</v>
      </c>
      <c r="Q18" s="3" t="str">
        <f t="shared" ca="1" si="1"/>
        <v>2025年7月28日</v>
      </c>
      <c r="R18" s="3" t="str">
        <f t="shared" ca="1" si="2"/>
        <v>2025年7月30日</v>
      </c>
      <c r="S18" s="3" t="str">
        <f>IF(COUNTIF(F18,"*ignore*"),"1泊",F18 &amp;"泊")</f>
        <v>2泊</v>
      </c>
      <c r="T18" s="3" t="str">
        <f t="shared" ca="1" si="3"/>
        <v>2025年7月28日 〜 2025年7月30日 2泊</v>
      </c>
      <c r="U18" s="3" t="str">
        <f>IF(COUNTIF(G18,"*ignore*"),"1名様",G18 &amp;"名様")</f>
        <v>1名様</v>
      </c>
      <c r="V18" s="3" t="str">
        <f t="shared" si="4"/>
        <v>テスト太郎様</v>
      </c>
      <c r="W18" s="3" t="str">
        <f>IF($L18="希望しない", "希望しない", IF($L18="メールでのご連絡", "メール：" &amp; $M18, IF($L18="電話でのご連絡", "電話：" &amp; $N18, "")))</f>
        <v>希望しない</v>
      </c>
      <c r="X18" s="3" t="str">
        <f t="shared" si="5"/>
        <v>なし</v>
      </c>
      <c r="Y18" s="11" t="s">
        <v>264</v>
      </c>
    </row>
    <row r="19" spans="1:25">
      <c r="A19" s="4">
        <v>18</v>
      </c>
      <c r="B19" s="3" t="s">
        <v>4</v>
      </c>
      <c r="C19" s="4" t="s">
        <v>3</v>
      </c>
      <c r="D19" s="4" t="s">
        <v>240</v>
      </c>
      <c r="E19" s="8" t="str">
        <f t="shared" ca="1" si="0"/>
        <v>2025/07/28</v>
      </c>
      <c r="F19" s="4">
        <v>2</v>
      </c>
      <c r="G19" s="4">
        <v>1</v>
      </c>
      <c r="H19" s="4" t="s">
        <v>107</v>
      </c>
      <c r="I19" s="4" t="s">
        <v>108</v>
      </c>
      <c r="J19" s="4" t="s">
        <v>108</v>
      </c>
      <c r="K19" s="4" t="s">
        <v>38</v>
      </c>
      <c r="L19" s="4" t="s">
        <v>175</v>
      </c>
      <c r="M19" s="4" t="s">
        <v>50</v>
      </c>
      <c r="N19" s="4" t="s">
        <v>50</v>
      </c>
      <c r="O19" s="4" t="s">
        <v>50</v>
      </c>
      <c r="P19" s="3" t="s">
        <v>171</v>
      </c>
      <c r="Q19" s="3" t="str">
        <f t="shared" ca="1" si="1"/>
        <v>2025年7月28日</v>
      </c>
      <c r="R19" s="3" t="str">
        <f t="shared" ca="1" si="2"/>
        <v>2025年7月30日</v>
      </c>
      <c r="S19" s="3" t="str">
        <f>IF(COUNTIF(F19,"*ignore*"),"1泊",F19 &amp;"泊")</f>
        <v>2泊</v>
      </c>
      <c r="T19" s="3" t="str">
        <f t="shared" ca="1" si="3"/>
        <v>2025年7月28日 〜 2025年7月30日 2泊</v>
      </c>
      <c r="U19" s="3" t="str">
        <f>IF(COUNTIF(G19,"*ignore*"),"1名様",G19 &amp;"名様")</f>
        <v>1名様</v>
      </c>
      <c r="V19" s="3" t="str">
        <f t="shared" si="4"/>
        <v>テスト太郎様</v>
      </c>
      <c r="W19" s="3" t="str">
        <f>IF($L19="希望しない", "希望しない", IF($L19="メールでのご連絡", "メール：" &amp; $M19, IF($L19="電話でのご連絡", "電話：" &amp; $N19, "")))</f>
        <v>希望しない</v>
      </c>
      <c r="X19" s="3" t="str">
        <f t="shared" si="5"/>
        <v>なし</v>
      </c>
      <c r="Y19" s="11" t="s">
        <v>253</v>
      </c>
    </row>
    <row r="20" spans="1:25">
      <c r="A20" s="4">
        <v>19</v>
      </c>
      <c r="B20" s="3" t="s">
        <v>4</v>
      </c>
      <c r="C20" s="4" t="s">
        <v>3</v>
      </c>
      <c r="D20" s="4" t="s">
        <v>245</v>
      </c>
      <c r="E20" s="8" t="str">
        <f t="shared" ca="1" si="0"/>
        <v>2025/07/28</v>
      </c>
      <c r="F20" s="4">
        <v>2</v>
      </c>
      <c r="G20" s="4">
        <v>1</v>
      </c>
      <c r="H20" s="4" t="s">
        <v>108</v>
      </c>
      <c r="I20" s="4" t="s">
        <v>107</v>
      </c>
      <c r="J20" s="4" t="s">
        <v>108</v>
      </c>
      <c r="K20" s="4" t="s">
        <v>38</v>
      </c>
      <c r="L20" s="4" t="s">
        <v>175</v>
      </c>
      <c r="M20" s="4" t="s">
        <v>50</v>
      </c>
      <c r="N20" s="4" t="s">
        <v>50</v>
      </c>
      <c r="O20" s="4" t="s">
        <v>50</v>
      </c>
      <c r="P20" s="3" t="s">
        <v>171</v>
      </c>
      <c r="Q20" s="3" t="str">
        <f t="shared" ca="1" si="1"/>
        <v>2025年7月28日</v>
      </c>
      <c r="R20" s="3" t="str">
        <f t="shared" ca="1" si="2"/>
        <v>2025年7月30日</v>
      </c>
      <c r="S20" s="3" t="str">
        <f>IF(COUNTIF(F20,"*ignore*"),"1泊",F20 &amp;"泊")</f>
        <v>2泊</v>
      </c>
      <c r="T20" s="3" t="str">
        <f t="shared" ca="1" si="3"/>
        <v>2025年7月28日 〜 2025年7月30日 2泊</v>
      </c>
      <c r="U20" s="3" t="str">
        <f>IF(COUNTIF(G20,"*ignore*"),"1名様",G20 &amp;"名様")</f>
        <v>1名様</v>
      </c>
      <c r="V20" s="3" t="str">
        <f t="shared" si="4"/>
        <v>テスト太郎様</v>
      </c>
      <c r="W20" s="3" t="str">
        <f>IF($L20="希望しない", "希望しない", IF($L20="メールでのご連絡", "メール：" &amp; $M20, IF($L20="電話でのご連絡", "電話：" &amp; $N20, "")))</f>
        <v>希望しない</v>
      </c>
      <c r="X20" s="3" t="str">
        <f t="shared" si="5"/>
        <v>なし</v>
      </c>
      <c r="Y20" s="11" t="s">
        <v>264</v>
      </c>
    </row>
    <row r="21" spans="1:25">
      <c r="A21" s="4">
        <v>20</v>
      </c>
      <c r="B21" s="3" t="s">
        <v>4</v>
      </c>
      <c r="C21" s="4" t="s">
        <v>3</v>
      </c>
      <c r="D21" s="4" t="s">
        <v>237</v>
      </c>
      <c r="E21" s="8" t="str">
        <f t="shared" ca="1" si="0"/>
        <v>2025/07/28</v>
      </c>
      <c r="F21" s="4">
        <v>2</v>
      </c>
      <c r="G21" s="4">
        <v>1</v>
      </c>
      <c r="H21" s="4" t="s">
        <v>108</v>
      </c>
      <c r="I21" s="4" t="s">
        <v>108</v>
      </c>
      <c r="J21" s="4" t="s">
        <v>107</v>
      </c>
      <c r="K21" s="4" t="s">
        <v>38</v>
      </c>
      <c r="L21" s="4" t="s">
        <v>175</v>
      </c>
      <c r="M21" s="4" t="s">
        <v>50</v>
      </c>
      <c r="N21" s="4" t="s">
        <v>50</v>
      </c>
      <c r="O21" s="4" t="s">
        <v>50</v>
      </c>
      <c r="P21" s="3" t="s">
        <v>165</v>
      </c>
      <c r="Q21" s="3" t="str">
        <f t="shared" ca="1" si="1"/>
        <v>2025年7月28日</v>
      </c>
      <c r="R21" s="3" t="str">
        <f t="shared" ca="1" si="2"/>
        <v>2025年7月30日</v>
      </c>
      <c r="S21" s="3" t="str">
        <f>IF(COUNTIF(F21,"*ignore*"),"1泊",F21 &amp;"泊")</f>
        <v>2泊</v>
      </c>
      <c r="T21" s="3" t="str">
        <f t="shared" ca="1" si="3"/>
        <v>2025年7月28日 〜 2025年7月30日 2泊</v>
      </c>
      <c r="U21" s="3" t="str">
        <f>IF(COUNTIF(G21,"*ignore*"),"1名様",G21 &amp;"名様")</f>
        <v>1名様</v>
      </c>
      <c r="V21" s="3" t="str">
        <f t="shared" si="4"/>
        <v>テスト太郎様</v>
      </c>
      <c r="W21" s="3" t="str">
        <f>IF($L21="希望しない", "希望しない", IF($L21="メールでのご連絡", "メール：" &amp; $M21, IF($L21="電話でのご連絡", "電話：" &amp; $N21, "")))</f>
        <v>希望しない</v>
      </c>
      <c r="X21" s="3" t="str">
        <f t="shared" si="5"/>
        <v>なし</v>
      </c>
      <c r="Y21" s="11" t="s">
        <v>255</v>
      </c>
    </row>
    <row r="22" spans="1:25">
      <c r="A22" s="4">
        <v>21</v>
      </c>
      <c r="B22" s="3" t="s">
        <v>4</v>
      </c>
      <c r="C22" s="4" t="s">
        <v>3</v>
      </c>
      <c r="D22" s="4" t="s">
        <v>243</v>
      </c>
      <c r="E22" s="8" t="str">
        <f t="shared" ca="1" si="0"/>
        <v>2025/07/28</v>
      </c>
      <c r="F22" s="4">
        <v>2</v>
      </c>
      <c r="G22" s="4">
        <v>2</v>
      </c>
      <c r="H22" s="4" t="s">
        <v>107</v>
      </c>
      <c r="I22" s="4" t="s">
        <v>107</v>
      </c>
      <c r="J22" s="4" t="s">
        <v>108</v>
      </c>
      <c r="K22" s="4" t="s">
        <v>38</v>
      </c>
      <c r="L22" s="4" t="s">
        <v>175</v>
      </c>
      <c r="M22" s="4" t="s">
        <v>50</v>
      </c>
      <c r="N22" s="4" t="s">
        <v>50</v>
      </c>
      <c r="O22" s="4" t="s">
        <v>50</v>
      </c>
      <c r="P22" s="3" t="s">
        <v>166</v>
      </c>
      <c r="Q22" s="3" t="str">
        <f t="shared" ca="1" si="1"/>
        <v>2025年7月28日</v>
      </c>
      <c r="R22" s="3" t="str">
        <f t="shared" ca="1" si="2"/>
        <v>2025年7月30日</v>
      </c>
      <c r="S22" s="3" t="str">
        <f t="shared" ref="S22:S65" si="6">IF(COUNTIF(F22,"*ignore*"),"1泊",F22 &amp;"泊")</f>
        <v>2泊</v>
      </c>
      <c r="T22" s="3" t="str">
        <f t="shared" ca="1" si="3"/>
        <v>2025年7月28日 〜 2025年7月30日 2泊</v>
      </c>
      <c r="U22" s="3" t="str">
        <f t="shared" ref="U22:U65" si="7">IF(COUNTIF(G22,"*ignore*"),"1名様",G22 &amp;"名様")</f>
        <v>2名様</v>
      </c>
      <c r="V22" s="3" t="str">
        <f t="shared" si="4"/>
        <v>テスト太郎様</v>
      </c>
      <c r="W22" s="3" t="str">
        <f>IF($L22="希望しない", "希望しない", IF($L22="メールでのご連絡", "メール：" &amp; $M22, IF($L22="電話でのご連絡", "電話：" &amp; $N22, "")))</f>
        <v>希望しない</v>
      </c>
      <c r="X22" s="3" t="str">
        <f t="shared" si="5"/>
        <v>なし</v>
      </c>
      <c r="Y22" s="11" t="s">
        <v>265</v>
      </c>
    </row>
    <row r="23" spans="1:25">
      <c r="A23" s="4">
        <v>22</v>
      </c>
      <c r="B23" s="3" t="s">
        <v>4</v>
      </c>
      <c r="C23" s="4" t="s">
        <v>3</v>
      </c>
      <c r="D23" s="4" t="s">
        <v>244</v>
      </c>
      <c r="E23" s="8" t="str">
        <f t="shared" ca="1" si="0"/>
        <v>2025/07/28</v>
      </c>
      <c r="F23" s="4">
        <v>2</v>
      </c>
      <c r="G23" s="4">
        <v>2</v>
      </c>
      <c r="H23" s="4" t="s">
        <v>107</v>
      </c>
      <c r="I23" s="4" t="s">
        <v>108</v>
      </c>
      <c r="J23" s="4" t="s">
        <v>107</v>
      </c>
      <c r="K23" s="4" t="s">
        <v>38</v>
      </c>
      <c r="L23" s="4" t="s">
        <v>175</v>
      </c>
      <c r="M23" s="4" t="s">
        <v>50</v>
      </c>
      <c r="N23" s="4" t="s">
        <v>50</v>
      </c>
      <c r="O23" s="4" t="s">
        <v>50</v>
      </c>
      <c r="P23" s="3" t="s">
        <v>172</v>
      </c>
      <c r="Q23" s="3" t="str">
        <f t="shared" ca="1" si="1"/>
        <v>2025年7月28日</v>
      </c>
      <c r="R23" s="3" t="str">
        <f t="shared" ca="1" si="2"/>
        <v>2025年7月30日</v>
      </c>
      <c r="S23" s="3" t="str">
        <f t="shared" si="6"/>
        <v>2泊</v>
      </c>
      <c r="T23" s="3" t="str">
        <f t="shared" ca="1" si="3"/>
        <v>2025年7月28日 〜 2025年7月30日 2泊</v>
      </c>
      <c r="U23" s="3" t="str">
        <f t="shared" si="7"/>
        <v>2名様</v>
      </c>
      <c r="V23" s="3" t="str">
        <f t="shared" si="4"/>
        <v>テスト太郎様</v>
      </c>
      <c r="W23" s="3" t="str">
        <f>IF($L23="希望しない", "希望しない", IF($L23="メールでのご連絡", "メール：" &amp; $M23, IF($L23="電話でのご連絡", "電話：" &amp; $N23, "")))</f>
        <v>希望しない</v>
      </c>
      <c r="X23" s="3" t="str">
        <f t="shared" si="5"/>
        <v>なし</v>
      </c>
      <c r="Y23" s="11" t="s">
        <v>266</v>
      </c>
    </row>
    <row r="24" spans="1:25">
      <c r="A24" s="4">
        <v>23</v>
      </c>
      <c r="B24" s="3" t="s">
        <v>4</v>
      </c>
      <c r="C24" s="4" t="s">
        <v>3</v>
      </c>
      <c r="D24" s="4" t="s">
        <v>246</v>
      </c>
      <c r="E24" s="8" t="str">
        <f t="shared" ca="1" si="0"/>
        <v>2025/07/28</v>
      </c>
      <c r="F24" s="4">
        <v>2</v>
      </c>
      <c r="G24" s="4">
        <v>2</v>
      </c>
      <c r="H24" s="4" t="s">
        <v>108</v>
      </c>
      <c r="I24" s="4" t="s">
        <v>107</v>
      </c>
      <c r="J24" s="4" t="s">
        <v>107</v>
      </c>
      <c r="K24" s="4" t="s">
        <v>38</v>
      </c>
      <c r="L24" s="4" t="s">
        <v>175</v>
      </c>
      <c r="M24" s="4" t="s">
        <v>50</v>
      </c>
      <c r="N24" s="4" t="s">
        <v>50</v>
      </c>
      <c r="O24" s="4" t="s">
        <v>50</v>
      </c>
      <c r="P24" s="3" t="s">
        <v>166</v>
      </c>
      <c r="Q24" s="3" t="str">
        <f t="shared" ca="1" si="1"/>
        <v>2025年7月28日</v>
      </c>
      <c r="R24" s="3" t="str">
        <f t="shared" ca="1" si="2"/>
        <v>2025年7月30日</v>
      </c>
      <c r="S24" s="3" t="str">
        <f t="shared" si="6"/>
        <v>2泊</v>
      </c>
      <c r="T24" s="3" t="str">
        <f t="shared" ca="1" si="3"/>
        <v>2025年7月28日 〜 2025年7月30日 2泊</v>
      </c>
      <c r="U24" s="3" t="str">
        <f t="shared" si="7"/>
        <v>2名様</v>
      </c>
      <c r="V24" s="3" t="str">
        <f t="shared" si="4"/>
        <v>テスト太郎様</v>
      </c>
      <c r="W24" s="3" t="str">
        <f>IF($L24="希望しない", "希望しない", IF($L24="メールでのご連絡", "メール：" &amp; $M24, IF($L24="電話でのご連絡", "電話：" &amp; $N24, "")))</f>
        <v>希望しない</v>
      </c>
      <c r="X24" s="3" t="str">
        <f t="shared" si="5"/>
        <v>なし</v>
      </c>
      <c r="Y24" s="11" t="s">
        <v>267</v>
      </c>
    </row>
    <row r="25" spans="1:25">
      <c r="A25" s="4">
        <v>24</v>
      </c>
      <c r="B25" s="3" t="s">
        <v>4</v>
      </c>
      <c r="C25" s="4" t="s">
        <v>3</v>
      </c>
      <c r="D25" s="4" t="s">
        <v>241</v>
      </c>
      <c r="E25" s="8" t="str">
        <f t="shared" ca="1" si="0"/>
        <v>2025/07/28</v>
      </c>
      <c r="F25" s="4">
        <v>2</v>
      </c>
      <c r="G25" s="4">
        <v>2</v>
      </c>
      <c r="H25" s="4" t="s">
        <v>108</v>
      </c>
      <c r="I25" s="4" t="s">
        <v>108</v>
      </c>
      <c r="J25" s="4" t="s">
        <v>108</v>
      </c>
      <c r="K25" s="4" t="s">
        <v>38</v>
      </c>
      <c r="L25" s="4" t="s">
        <v>175</v>
      </c>
      <c r="M25" s="4" t="s">
        <v>50</v>
      </c>
      <c r="N25" s="4" t="s">
        <v>50</v>
      </c>
      <c r="O25" s="4" t="s">
        <v>50</v>
      </c>
      <c r="P25" s="3" t="s">
        <v>168</v>
      </c>
      <c r="Q25" s="3" t="str">
        <f t="shared" ca="1" si="1"/>
        <v>2025年7月28日</v>
      </c>
      <c r="R25" s="3" t="str">
        <f t="shared" ca="1" si="2"/>
        <v>2025年7月30日</v>
      </c>
      <c r="S25" s="3" t="str">
        <f t="shared" si="6"/>
        <v>2泊</v>
      </c>
      <c r="T25" s="3" t="str">
        <f t="shared" ca="1" si="3"/>
        <v>2025年7月28日 〜 2025年7月30日 2泊</v>
      </c>
      <c r="U25" s="3" t="str">
        <f t="shared" si="7"/>
        <v>2名様</v>
      </c>
      <c r="V25" s="3" t="str">
        <f t="shared" si="4"/>
        <v>テスト太郎様</v>
      </c>
      <c r="W25" s="3" t="str">
        <f>IF($L25="希望しない", "希望しない", IF($L25="メールでのご連絡", "メール：" &amp; $M25, IF($L25="電話でのご連絡", "電話：" &amp; $N25, "")))</f>
        <v>希望しない</v>
      </c>
      <c r="X25" s="3" t="str">
        <f t="shared" si="5"/>
        <v>なし</v>
      </c>
      <c r="Y25" s="11" t="s">
        <v>257</v>
      </c>
    </row>
    <row r="26" spans="1:25">
      <c r="A26" s="4">
        <v>25</v>
      </c>
      <c r="B26" s="3" t="s">
        <v>4</v>
      </c>
      <c r="C26" s="4" t="s">
        <v>3</v>
      </c>
      <c r="D26" s="4" t="s">
        <v>240</v>
      </c>
      <c r="E26" s="8" t="str">
        <f ca="1">TEXT(TODAY()+7-WEEKDAY(TODAY(),1)+IF(WEEKDAY(TODAY(),1)&lt;FIND("金","日月火水木金土",1),-1,6),"yyyy/mm/dd")</f>
        <v>2025/08/01</v>
      </c>
      <c r="F26" s="4">
        <v>2</v>
      </c>
      <c r="G26" s="4">
        <v>1</v>
      </c>
      <c r="H26" s="4" t="s">
        <v>107</v>
      </c>
      <c r="I26" s="4" t="s">
        <v>107</v>
      </c>
      <c r="J26" s="4" t="s">
        <v>108</v>
      </c>
      <c r="K26" s="4" t="s">
        <v>38</v>
      </c>
      <c r="L26" s="4" t="s">
        <v>175</v>
      </c>
      <c r="M26" s="4" t="s">
        <v>50</v>
      </c>
      <c r="N26" s="4" t="s">
        <v>50</v>
      </c>
      <c r="O26" s="4" t="s">
        <v>50</v>
      </c>
      <c r="P26" s="3" t="s">
        <v>171</v>
      </c>
      <c r="Q26" s="3" t="str">
        <f t="shared" ca="1" si="1"/>
        <v>2025年8月1日</v>
      </c>
      <c r="R26" s="3" t="str">
        <f t="shared" ca="1" si="2"/>
        <v>2025年8月3日</v>
      </c>
      <c r="S26" s="3" t="str">
        <f t="shared" si="6"/>
        <v>2泊</v>
      </c>
      <c r="T26" s="3" t="str">
        <f t="shared" ca="1" si="3"/>
        <v>2025年8月1日 〜 2025年8月3日 2泊</v>
      </c>
      <c r="U26" s="3" t="str">
        <f t="shared" si="7"/>
        <v>1名様</v>
      </c>
      <c r="V26" s="3" t="str">
        <f t="shared" si="4"/>
        <v>テスト太郎様</v>
      </c>
      <c r="W26" s="3" t="str">
        <f>IF($L26="希望しない", "希望しない", IF($L26="メールでのご連絡", "メール：" &amp; $M26, IF($L26="電話でのご連絡", "電話：" &amp; $N26, "")))</f>
        <v>希望しない</v>
      </c>
      <c r="X26" s="3" t="str">
        <f t="shared" si="5"/>
        <v>なし</v>
      </c>
      <c r="Y26" s="11" t="s">
        <v>268</v>
      </c>
    </row>
    <row r="27" spans="1:25">
      <c r="A27" s="4">
        <v>26</v>
      </c>
      <c r="B27" s="3" t="s">
        <v>4</v>
      </c>
      <c r="C27" s="4" t="s">
        <v>3</v>
      </c>
      <c r="D27" s="4" t="s">
        <v>245</v>
      </c>
      <c r="E27" s="8" t="str">
        <f t="shared" ref="E27:E33" ca="1" si="8">TEXT(TODAY()+7-WEEKDAY(TODAY(),1)+IF(WEEKDAY(TODAY(),1)&lt;FIND("金","日月火水木金土",1),-1,6),"yyyy/mm/dd")</f>
        <v>2025/08/01</v>
      </c>
      <c r="F27" s="4">
        <v>2</v>
      </c>
      <c r="G27" s="4">
        <v>1</v>
      </c>
      <c r="H27" s="4" t="s">
        <v>107</v>
      </c>
      <c r="I27" s="4" t="s">
        <v>108</v>
      </c>
      <c r="J27" s="4" t="s">
        <v>107</v>
      </c>
      <c r="K27" s="4" t="s">
        <v>38</v>
      </c>
      <c r="L27" s="4" t="s">
        <v>175</v>
      </c>
      <c r="M27" s="4" t="s">
        <v>50</v>
      </c>
      <c r="N27" s="4" t="s">
        <v>50</v>
      </c>
      <c r="O27" s="4" t="s">
        <v>50</v>
      </c>
      <c r="P27" s="3" t="s">
        <v>171</v>
      </c>
      <c r="Q27" s="3" t="str">
        <f t="shared" ca="1" si="1"/>
        <v>2025年8月1日</v>
      </c>
      <c r="R27" s="3" t="str">
        <f t="shared" ca="1" si="2"/>
        <v>2025年8月3日</v>
      </c>
      <c r="S27" s="3" t="str">
        <f t="shared" si="6"/>
        <v>2泊</v>
      </c>
      <c r="T27" s="3" t="str">
        <f t="shared" ca="1" si="3"/>
        <v>2025年8月1日 〜 2025年8月3日 2泊</v>
      </c>
      <c r="U27" s="3" t="str">
        <f t="shared" si="7"/>
        <v>1名様</v>
      </c>
      <c r="V27" s="3" t="str">
        <f t="shared" si="4"/>
        <v>テスト太郎様</v>
      </c>
      <c r="W27" s="3" t="str">
        <f>IF($L27="希望しない", "希望しない", IF($L27="メールでのご連絡", "メール：" &amp; $M27, IF($L27="電話でのご連絡", "電話：" &amp; $N27, "")))</f>
        <v>希望しない</v>
      </c>
      <c r="X27" s="3" t="str">
        <f t="shared" si="5"/>
        <v>なし</v>
      </c>
      <c r="Y27" s="11" t="s">
        <v>268</v>
      </c>
    </row>
    <row r="28" spans="1:25">
      <c r="A28" s="4">
        <v>27</v>
      </c>
      <c r="B28" s="3" t="s">
        <v>4</v>
      </c>
      <c r="C28" s="4" t="s">
        <v>3</v>
      </c>
      <c r="D28" s="4" t="s">
        <v>237</v>
      </c>
      <c r="E28" s="8" t="str">
        <f t="shared" ca="1" si="8"/>
        <v>2025/08/01</v>
      </c>
      <c r="F28" s="4">
        <v>2</v>
      </c>
      <c r="G28" s="4">
        <v>1</v>
      </c>
      <c r="H28" s="4" t="s">
        <v>108</v>
      </c>
      <c r="I28" s="4" t="s">
        <v>107</v>
      </c>
      <c r="J28" s="4" t="s">
        <v>107</v>
      </c>
      <c r="K28" s="4" t="s">
        <v>38</v>
      </c>
      <c r="L28" s="4" t="s">
        <v>175</v>
      </c>
      <c r="M28" s="4" t="s">
        <v>50</v>
      </c>
      <c r="N28" s="4" t="s">
        <v>50</v>
      </c>
      <c r="O28" s="4" t="s">
        <v>50</v>
      </c>
      <c r="P28" s="3" t="s">
        <v>165</v>
      </c>
      <c r="Q28" s="3" t="str">
        <f t="shared" ca="1" si="1"/>
        <v>2025年8月1日</v>
      </c>
      <c r="R28" s="3" t="str">
        <f t="shared" ca="1" si="2"/>
        <v>2025年8月3日</v>
      </c>
      <c r="S28" s="3" t="str">
        <f t="shared" si="6"/>
        <v>2泊</v>
      </c>
      <c r="T28" s="3" t="str">
        <f t="shared" ca="1" si="3"/>
        <v>2025年8月1日 〜 2025年8月3日 2泊</v>
      </c>
      <c r="U28" s="3" t="str">
        <f t="shared" si="7"/>
        <v>1名様</v>
      </c>
      <c r="V28" s="3" t="str">
        <f t="shared" si="4"/>
        <v>テスト太郎様</v>
      </c>
      <c r="W28" s="3" t="str">
        <f>IF($L28="希望しない", "希望しない", IF($L28="メールでのご連絡", "メール：" &amp; $M28, IF($L28="電話でのご連絡", "電話：" &amp; $N28, "")))</f>
        <v>希望しない</v>
      </c>
      <c r="X28" s="3" t="str">
        <f t="shared" si="5"/>
        <v>なし</v>
      </c>
      <c r="Y28" s="11" t="s">
        <v>269</v>
      </c>
    </row>
    <row r="29" spans="1:25">
      <c r="A29" s="4">
        <v>28</v>
      </c>
      <c r="B29" s="3" t="s">
        <v>4</v>
      </c>
      <c r="C29" s="4" t="s">
        <v>3</v>
      </c>
      <c r="D29" s="4" t="s">
        <v>238</v>
      </c>
      <c r="E29" s="8" t="str">
        <f t="shared" ca="1" si="8"/>
        <v>2025/08/01</v>
      </c>
      <c r="F29" s="4">
        <v>2</v>
      </c>
      <c r="G29" s="4">
        <v>1</v>
      </c>
      <c r="H29" s="4" t="s">
        <v>108</v>
      </c>
      <c r="I29" s="4" t="s">
        <v>108</v>
      </c>
      <c r="J29" s="4" t="s">
        <v>108</v>
      </c>
      <c r="K29" s="4" t="s">
        <v>38</v>
      </c>
      <c r="L29" s="4" t="s">
        <v>175</v>
      </c>
      <c r="M29" s="4" t="s">
        <v>50</v>
      </c>
      <c r="N29" s="4" t="s">
        <v>50</v>
      </c>
      <c r="O29" s="4" t="s">
        <v>50</v>
      </c>
      <c r="P29" s="3" t="s">
        <v>167</v>
      </c>
      <c r="Q29" s="3" t="str">
        <f t="shared" ca="1" si="1"/>
        <v>2025年8月1日</v>
      </c>
      <c r="R29" s="3" t="str">
        <f t="shared" ca="1" si="2"/>
        <v>2025年8月3日</v>
      </c>
      <c r="S29" s="3" t="str">
        <f t="shared" si="6"/>
        <v>2泊</v>
      </c>
      <c r="T29" s="3" t="str">
        <f t="shared" ca="1" si="3"/>
        <v>2025年8月1日 〜 2025年8月3日 2泊</v>
      </c>
      <c r="U29" s="3" t="str">
        <f t="shared" si="7"/>
        <v>1名様</v>
      </c>
      <c r="V29" s="3" t="str">
        <f t="shared" si="4"/>
        <v>テスト太郎様</v>
      </c>
      <c r="W29" s="3" t="str">
        <f>IF($L29="希望しない", "希望しない", IF($L29="メールでのご連絡", "メール：" &amp; $M29, IF($L29="電話でのご連絡", "電話：" &amp; $N29, "")))</f>
        <v>希望しない</v>
      </c>
      <c r="X29" s="3" t="str">
        <f t="shared" si="5"/>
        <v>なし</v>
      </c>
      <c r="Y29" s="11" t="s">
        <v>258</v>
      </c>
    </row>
    <row r="30" spans="1:25">
      <c r="A30" s="4">
        <v>29</v>
      </c>
      <c r="B30" s="3" t="s">
        <v>4</v>
      </c>
      <c r="C30" s="4" t="s">
        <v>3</v>
      </c>
      <c r="D30" s="4" t="s">
        <v>244</v>
      </c>
      <c r="E30" s="8" t="str">
        <f t="shared" ca="1" si="8"/>
        <v>2025/08/01</v>
      </c>
      <c r="F30" s="4">
        <v>2</v>
      </c>
      <c r="G30" s="4">
        <v>2</v>
      </c>
      <c r="H30" s="4" t="s">
        <v>107</v>
      </c>
      <c r="I30" s="4" t="s">
        <v>107</v>
      </c>
      <c r="J30" s="4" t="s">
        <v>107</v>
      </c>
      <c r="K30" s="4" t="s">
        <v>38</v>
      </c>
      <c r="L30" s="4" t="s">
        <v>175</v>
      </c>
      <c r="M30" s="4" t="s">
        <v>50</v>
      </c>
      <c r="N30" s="4" t="s">
        <v>50</v>
      </c>
      <c r="O30" s="4" t="s">
        <v>50</v>
      </c>
      <c r="P30" s="3" t="s">
        <v>172</v>
      </c>
      <c r="Q30" s="3" t="str">
        <f t="shared" ca="1" si="1"/>
        <v>2025年8月1日</v>
      </c>
      <c r="R30" s="3" t="str">
        <f t="shared" ca="1" si="2"/>
        <v>2025年8月3日</v>
      </c>
      <c r="S30" s="3" t="str">
        <f t="shared" si="6"/>
        <v>2泊</v>
      </c>
      <c r="T30" s="3" t="str">
        <f t="shared" ca="1" si="3"/>
        <v>2025年8月1日 〜 2025年8月3日 2泊</v>
      </c>
      <c r="U30" s="3" t="str">
        <f t="shared" si="7"/>
        <v>2名様</v>
      </c>
      <c r="V30" s="3" t="str">
        <f t="shared" si="4"/>
        <v>テスト太郎様</v>
      </c>
      <c r="W30" s="3" t="str">
        <f>IF($L30="希望しない", "希望しない", IF($L30="メールでのご連絡", "メール：" &amp; $M30, IF($L30="電話でのご連絡", "電話：" &amp; $N30, "")))</f>
        <v>希望しない</v>
      </c>
      <c r="X30" s="3" t="str">
        <f t="shared" si="5"/>
        <v>なし</v>
      </c>
      <c r="Y30" s="11" t="s">
        <v>267</v>
      </c>
    </row>
    <row r="31" spans="1:25">
      <c r="A31" s="4">
        <v>30</v>
      </c>
      <c r="B31" s="3" t="s">
        <v>4</v>
      </c>
      <c r="C31" s="4" t="s">
        <v>3</v>
      </c>
      <c r="D31" s="4" t="s">
        <v>246</v>
      </c>
      <c r="E31" s="8" t="str">
        <f t="shared" ca="1" si="8"/>
        <v>2025/08/01</v>
      </c>
      <c r="F31" s="4">
        <v>2</v>
      </c>
      <c r="G31" s="4">
        <v>2</v>
      </c>
      <c r="H31" s="4" t="s">
        <v>107</v>
      </c>
      <c r="I31" s="4" t="s">
        <v>108</v>
      </c>
      <c r="J31" s="4" t="s">
        <v>108</v>
      </c>
      <c r="K31" s="4" t="s">
        <v>38</v>
      </c>
      <c r="L31" s="4" t="s">
        <v>175</v>
      </c>
      <c r="M31" s="4" t="s">
        <v>50</v>
      </c>
      <c r="N31" s="4" t="s">
        <v>50</v>
      </c>
      <c r="O31" s="4" t="s">
        <v>50</v>
      </c>
      <c r="P31" s="3" t="s">
        <v>166</v>
      </c>
      <c r="Q31" s="3" t="str">
        <f t="shared" ca="1" si="1"/>
        <v>2025年8月1日</v>
      </c>
      <c r="R31" s="3" t="str">
        <f t="shared" ca="1" si="2"/>
        <v>2025年8月3日</v>
      </c>
      <c r="S31" s="3" t="str">
        <f t="shared" si="6"/>
        <v>2泊</v>
      </c>
      <c r="T31" s="3" t="str">
        <f t="shared" ca="1" si="3"/>
        <v>2025年8月1日 〜 2025年8月3日 2泊</v>
      </c>
      <c r="U31" s="3" t="str">
        <f t="shared" si="7"/>
        <v>2名様</v>
      </c>
      <c r="V31" s="3" t="str">
        <f t="shared" si="4"/>
        <v>テスト太郎様</v>
      </c>
      <c r="W31" s="3" t="str">
        <f>IF($L31="希望しない", "希望しない", IF($L31="メールでのご連絡", "メール：" &amp; $M31, IF($L31="電話でのご連絡", "電話：" &amp; $N31, "")))</f>
        <v>希望しない</v>
      </c>
      <c r="X31" s="3" t="str">
        <f t="shared" si="5"/>
        <v>なし</v>
      </c>
      <c r="Y31" s="11" t="s">
        <v>270</v>
      </c>
    </row>
    <row r="32" spans="1:25">
      <c r="A32" s="4">
        <v>31</v>
      </c>
      <c r="B32" s="3" t="s">
        <v>4</v>
      </c>
      <c r="C32" s="4" t="s">
        <v>3</v>
      </c>
      <c r="D32" s="4" t="s">
        <v>241</v>
      </c>
      <c r="E32" s="8" t="str">
        <f t="shared" ca="1" si="8"/>
        <v>2025/08/01</v>
      </c>
      <c r="F32" s="4">
        <v>2</v>
      </c>
      <c r="G32" s="4">
        <v>2</v>
      </c>
      <c r="H32" s="4" t="s">
        <v>108</v>
      </c>
      <c r="I32" s="4" t="s">
        <v>107</v>
      </c>
      <c r="J32" s="4" t="s">
        <v>108</v>
      </c>
      <c r="K32" s="4" t="s">
        <v>38</v>
      </c>
      <c r="L32" s="4" t="s">
        <v>175</v>
      </c>
      <c r="M32" s="4" t="s">
        <v>50</v>
      </c>
      <c r="N32" s="4" t="s">
        <v>50</v>
      </c>
      <c r="O32" s="4" t="s">
        <v>50</v>
      </c>
      <c r="P32" s="3" t="s">
        <v>168</v>
      </c>
      <c r="Q32" s="3" t="str">
        <f t="shared" ca="1" si="1"/>
        <v>2025年8月1日</v>
      </c>
      <c r="R32" s="3" t="str">
        <f t="shared" ca="1" si="2"/>
        <v>2025年8月3日</v>
      </c>
      <c r="S32" s="3" t="str">
        <f t="shared" si="6"/>
        <v>2泊</v>
      </c>
      <c r="T32" s="3" t="str">
        <f t="shared" ca="1" si="3"/>
        <v>2025年8月1日 〜 2025年8月3日 2泊</v>
      </c>
      <c r="U32" s="3" t="str">
        <f t="shared" si="7"/>
        <v>2名様</v>
      </c>
      <c r="V32" s="3" t="str">
        <f t="shared" si="4"/>
        <v>テスト太郎様</v>
      </c>
      <c r="W32" s="3" t="str">
        <f>IF($L32="希望しない", "希望しない", IF($L32="メールでのご連絡", "メール：" &amp; $M32, IF($L32="電話でのご連絡", "電話：" &amp; $N32, "")))</f>
        <v>希望しない</v>
      </c>
      <c r="X32" s="3" t="str">
        <f t="shared" si="5"/>
        <v>なし</v>
      </c>
      <c r="Y32" s="11" t="s">
        <v>271</v>
      </c>
    </row>
    <row r="33" spans="1:25">
      <c r="A33" s="4">
        <v>32</v>
      </c>
      <c r="B33" s="3" t="s">
        <v>4</v>
      </c>
      <c r="C33" s="4" t="s">
        <v>3</v>
      </c>
      <c r="D33" s="4" t="s">
        <v>242</v>
      </c>
      <c r="E33" s="8" t="str">
        <f t="shared" ca="1" si="8"/>
        <v>2025/08/01</v>
      </c>
      <c r="F33" s="4">
        <v>2</v>
      </c>
      <c r="G33" s="4">
        <v>2</v>
      </c>
      <c r="H33" s="4" t="s">
        <v>108</v>
      </c>
      <c r="I33" s="4" t="s">
        <v>108</v>
      </c>
      <c r="J33" s="4" t="s">
        <v>107</v>
      </c>
      <c r="K33" s="4" t="s">
        <v>38</v>
      </c>
      <c r="L33" s="4" t="s">
        <v>175</v>
      </c>
      <c r="M33" s="4" t="s">
        <v>50</v>
      </c>
      <c r="N33" s="4" t="s">
        <v>50</v>
      </c>
      <c r="O33" s="4" t="s">
        <v>50</v>
      </c>
      <c r="P33" s="3" t="s">
        <v>169</v>
      </c>
      <c r="Q33" s="3" t="str">
        <f t="shared" ca="1" si="1"/>
        <v>2025年8月1日</v>
      </c>
      <c r="R33" s="3" t="str">
        <f t="shared" ca="1" si="2"/>
        <v>2025年8月3日</v>
      </c>
      <c r="S33" s="3" t="str">
        <f t="shared" si="6"/>
        <v>2泊</v>
      </c>
      <c r="T33" s="3" t="str">
        <f t="shared" ca="1" si="3"/>
        <v>2025年8月1日 〜 2025年8月3日 2泊</v>
      </c>
      <c r="U33" s="3" t="str">
        <f t="shared" si="7"/>
        <v>2名様</v>
      </c>
      <c r="V33" s="3" t="str">
        <f t="shared" si="4"/>
        <v>テスト太郎様</v>
      </c>
      <c r="W33" s="3" t="str">
        <f>IF($L33="希望しない", "希望しない", IF($L33="メールでのご連絡", "メール：" &amp; $M33, IF($L33="電話でのご連絡", "電話：" &amp; $N33, "")))</f>
        <v>希望しない</v>
      </c>
      <c r="X33" s="3" t="str">
        <f t="shared" si="5"/>
        <v>なし</v>
      </c>
      <c r="Y33" s="11" t="s">
        <v>272</v>
      </c>
    </row>
    <row r="34" spans="1:25">
      <c r="A34" s="4">
        <v>33</v>
      </c>
      <c r="B34" s="3" t="s">
        <v>4</v>
      </c>
      <c r="C34" s="4" t="s">
        <v>3</v>
      </c>
      <c r="D34" s="4" t="s">
        <v>245</v>
      </c>
      <c r="E34" s="8" t="str">
        <f ca="1">TEXT(TODAY()+7-WEEKDAY(TODAY(),1)+IF(WEEKDAY(TODAY(),1)&lt;FIND("土","日月火水木金土",1),0,7),"yyyy/mm/dd")</f>
        <v>2025/07/26</v>
      </c>
      <c r="F34" s="4">
        <v>1</v>
      </c>
      <c r="G34" s="4">
        <v>1</v>
      </c>
      <c r="H34" s="4" t="s">
        <v>107</v>
      </c>
      <c r="I34" s="4" t="s">
        <v>107</v>
      </c>
      <c r="J34" s="4" t="s">
        <v>107</v>
      </c>
      <c r="K34" s="4" t="s">
        <v>38</v>
      </c>
      <c r="L34" s="4" t="s">
        <v>175</v>
      </c>
      <c r="M34" s="4" t="s">
        <v>50</v>
      </c>
      <c r="N34" s="4" t="s">
        <v>50</v>
      </c>
      <c r="O34" s="4" t="s">
        <v>50</v>
      </c>
      <c r="P34" s="3" t="s">
        <v>171</v>
      </c>
      <c r="Q34" s="3" t="str">
        <f t="shared" ca="1" si="1"/>
        <v>2025年7月26日</v>
      </c>
      <c r="R34" s="3" t="str">
        <f t="shared" ca="1" si="2"/>
        <v>2025年7月27日</v>
      </c>
      <c r="S34" s="3" t="str">
        <f t="shared" si="6"/>
        <v>1泊</v>
      </c>
      <c r="T34" s="3" t="str">
        <f t="shared" ca="1" si="3"/>
        <v>2025年7月26日 〜 2025年7月27日 1泊</v>
      </c>
      <c r="U34" s="3" t="str">
        <f t="shared" si="7"/>
        <v>1名様</v>
      </c>
      <c r="V34" s="3" t="str">
        <f t="shared" si="4"/>
        <v>テスト太郎様</v>
      </c>
      <c r="W34" s="3" t="str">
        <f>IF($L34="希望しない", "希望しない", IF($L34="メールでのご連絡", "メール：" &amp; $M34, IF($L34="電話でのご連絡", "電話：" &amp; $N34, "")))</f>
        <v>希望しない</v>
      </c>
      <c r="X34" s="3" t="str">
        <f t="shared" si="5"/>
        <v>なし</v>
      </c>
      <c r="Y34" s="11" t="s">
        <v>273</v>
      </c>
    </row>
    <row r="35" spans="1:25">
      <c r="A35" s="4">
        <v>34</v>
      </c>
      <c r="B35" s="3" t="s">
        <v>4</v>
      </c>
      <c r="C35" s="4" t="s">
        <v>3</v>
      </c>
      <c r="D35" s="4" t="s">
        <v>237</v>
      </c>
      <c r="E35" s="8" t="str">
        <f t="shared" ref="E35:E49" ca="1" si="9">TEXT(TODAY()+7-WEEKDAY(TODAY(),1)+IF(WEEKDAY(TODAY(),1)&lt;FIND("土","日月火水木金土",1),0,7),"yyyy/mm/dd")</f>
        <v>2025/07/26</v>
      </c>
      <c r="F35" s="4">
        <v>1</v>
      </c>
      <c r="G35" s="4">
        <v>1</v>
      </c>
      <c r="H35" s="4" t="s">
        <v>107</v>
      </c>
      <c r="I35" s="4" t="s">
        <v>108</v>
      </c>
      <c r="J35" s="4" t="s">
        <v>108</v>
      </c>
      <c r="K35" s="4" t="s">
        <v>38</v>
      </c>
      <c r="L35" s="4" t="s">
        <v>175</v>
      </c>
      <c r="M35" s="4" t="s">
        <v>50</v>
      </c>
      <c r="N35" s="4" t="s">
        <v>50</v>
      </c>
      <c r="O35" s="4" t="s">
        <v>50</v>
      </c>
      <c r="P35" s="3" t="s">
        <v>165</v>
      </c>
      <c r="Q35" s="3" t="str">
        <f t="shared" ca="1" si="1"/>
        <v>2025年7月26日</v>
      </c>
      <c r="R35" s="3" t="str">
        <f t="shared" ca="1" si="2"/>
        <v>2025年7月27日</v>
      </c>
      <c r="S35" s="3" t="str">
        <f t="shared" si="6"/>
        <v>1泊</v>
      </c>
      <c r="T35" s="3" t="str">
        <f t="shared" ca="1" si="3"/>
        <v>2025年7月26日 〜 2025年7月27日 1泊</v>
      </c>
      <c r="U35" s="3" t="str">
        <f t="shared" si="7"/>
        <v>1名様</v>
      </c>
      <c r="V35" s="3" t="str">
        <f t="shared" si="4"/>
        <v>テスト太郎様</v>
      </c>
      <c r="W35" s="3" t="str">
        <f>IF($L35="希望しない", "希望しない", IF($L35="メールでのご連絡", "メール：" &amp; $M35, IF($L35="電話でのご連絡", "電話：" &amp; $N35, "")))</f>
        <v>希望しない</v>
      </c>
      <c r="X35" s="3" t="str">
        <f t="shared" si="5"/>
        <v>なし</v>
      </c>
      <c r="Y35" s="11" t="s">
        <v>274</v>
      </c>
    </row>
    <row r="36" spans="1:25">
      <c r="A36" s="4">
        <v>35</v>
      </c>
      <c r="B36" s="3" t="s">
        <v>4</v>
      </c>
      <c r="C36" s="4" t="s">
        <v>3</v>
      </c>
      <c r="D36" s="4" t="s">
        <v>238</v>
      </c>
      <c r="E36" s="8" t="str">
        <f t="shared" ca="1" si="9"/>
        <v>2025/07/26</v>
      </c>
      <c r="F36" s="4">
        <v>1</v>
      </c>
      <c r="G36" s="4">
        <v>1</v>
      </c>
      <c r="H36" s="4" t="s">
        <v>108</v>
      </c>
      <c r="I36" s="4" t="s">
        <v>107</v>
      </c>
      <c r="J36" s="4" t="s">
        <v>108</v>
      </c>
      <c r="K36" s="4" t="s">
        <v>38</v>
      </c>
      <c r="L36" s="4" t="s">
        <v>175</v>
      </c>
      <c r="M36" s="4" t="s">
        <v>50</v>
      </c>
      <c r="N36" s="4" t="s">
        <v>50</v>
      </c>
      <c r="O36" s="4" t="s">
        <v>50</v>
      </c>
      <c r="P36" s="3" t="s">
        <v>167</v>
      </c>
      <c r="Q36" s="3" t="str">
        <f t="shared" ca="1" si="1"/>
        <v>2025年7月26日</v>
      </c>
      <c r="R36" s="3" t="str">
        <f t="shared" ca="1" si="2"/>
        <v>2025年7月27日</v>
      </c>
      <c r="S36" s="3" t="str">
        <f t="shared" si="6"/>
        <v>1泊</v>
      </c>
      <c r="T36" s="3" t="str">
        <f t="shared" ca="1" si="3"/>
        <v>2025年7月26日 〜 2025年7月27日 1泊</v>
      </c>
      <c r="U36" s="3" t="str">
        <f t="shared" si="7"/>
        <v>1名様</v>
      </c>
      <c r="V36" s="3" t="str">
        <f t="shared" si="4"/>
        <v>テスト太郎様</v>
      </c>
      <c r="W36" s="3" t="str">
        <f>IF($L36="希望しない", "希望しない", IF($L36="メールでのご連絡", "メール：" &amp; $M36, IF($L36="電話でのご連絡", "電話：" &amp; $N36, "")))</f>
        <v>希望しない</v>
      </c>
      <c r="X36" s="3" t="str">
        <f t="shared" si="5"/>
        <v>なし</v>
      </c>
      <c r="Y36" s="11" t="s">
        <v>275</v>
      </c>
    </row>
    <row r="37" spans="1:25">
      <c r="A37" s="4">
        <v>36</v>
      </c>
      <c r="B37" s="3" t="s">
        <v>4</v>
      </c>
      <c r="C37" s="4" t="s">
        <v>3</v>
      </c>
      <c r="D37" s="4" t="s">
        <v>239</v>
      </c>
      <c r="E37" s="8" t="str">
        <f t="shared" ca="1" si="9"/>
        <v>2025/07/26</v>
      </c>
      <c r="F37" s="4">
        <v>1</v>
      </c>
      <c r="G37" s="4">
        <v>1</v>
      </c>
      <c r="H37" s="4" t="s">
        <v>108</v>
      </c>
      <c r="I37" s="4" t="s">
        <v>108</v>
      </c>
      <c r="J37" s="4" t="s">
        <v>107</v>
      </c>
      <c r="K37" s="4" t="s">
        <v>38</v>
      </c>
      <c r="L37" s="4" t="s">
        <v>175</v>
      </c>
      <c r="M37" s="4" t="s">
        <v>50</v>
      </c>
      <c r="N37" s="4" t="s">
        <v>50</v>
      </c>
      <c r="O37" s="4" t="s">
        <v>50</v>
      </c>
      <c r="P37" s="3" t="s">
        <v>170</v>
      </c>
      <c r="Q37" s="3" t="str">
        <f t="shared" ca="1" si="1"/>
        <v>2025年7月26日</v>
      </c>
      <c r="R37" s="3" t="str">
        <f t="shared" ca="1" si="2"/>
        <v>2025年7月27日</v>
      </c>
      <c r="S37" s="3" t="str">
        <f t="shared" si="6"/>
        <v>1泊</v>
      </c>
      <c r="T37" s="3" t="str">
        <f t="shared" ca="1" si="3"/>
        <v>2025年7月26日 〜 2025年7月27日 1泊</v>
      </c>
      <c r="U37" s="3" t="str">
        <f t="shared" si="7"/>
        <v>1名様</v>
      </c>
      <c r="V37" s="3" t="str">
        <f t="shared" si="4"/>
        <v>テスト太郎様</v>
      </c>
      <c r="W37" s="3" t="str">
        <f>IF($L37="希望しない", "希望しない", IF($L37="メールでのご連絡", "メール：" &amp; $M37, IF($L37="電話でのご連絡", "電話：" &amp; $N37, "")))</f>
        <v>希望しない</v>
      </c>
      <c r="X37" s="3" t="str">
        <f t="shared" si="5"/>
        <v>なし</v>
      </c>
      <c r="Y37" s="11" t="s">
        <v>276</v>
      </c>
    </row>
    <row r="38" spans="1:25">
      <c r="A38" s="4">
        <v>37</v>
      </c>
      <c r="B38" s="3" t="s">
        <v>4</v>
      </c>
      <c r="C38" s="4" t="s">
        <v>3</v>
      </c>
      <c r="D38" s="4" t="s">
        <v>246</v>
      </c>
      <c r="E38" s="8" t="str">
        <f t="shared" ca="1" si="9"/>
        <v>2025/07/26</v>
      </c>
      <c r="F38" s="4">
        <v>1</v>
      </c>
      <c r="G38" s="4">
        <v>2</v>
      </c>
      <c r="H38" s="4" t="s">
        <v>107</v>
      </c>
      <c r="I38" s="4" t="s">
        <v>107</v>
      </c>
      <c r="J38" s="4" t="s">
        <v>108</v>
      </c>
      <c r="K38" s="4" t="s">
        <v>38</v>
      </c>
      <c r="L38" s="4" t="s">
        <v>175</v>
      </c>
      <c r="M38" s="4" t="s">
        <v>50</v>
      </c>
      <c r="N38" s="4" t="s">
        <v>50</v>
      </c>
      <c r="O38" s="4" t="s">
        <v>50</v>
      </c>
      <c r="P38" s="3" t="s">
        <v>166</v>
      </c>
      <c r="Q38" s="3" t="str">
        <f t="shared" ca="1" si="1"/>
        <v>2025年7月26日</v>
      </c>
      <c r="R38" s="3" t="str">
        <f t="shared" ca="1" si="2"/>
        <v>2025年7月27日</v>
      </c>
      <c r="S38" s="3" t="str">
        <f t="shared" si="6"/>
        <v>1泊</v>
      </c>
      <c r="T38" s="3" t="str">
        <f t="shared" ca="1" si="3"/>
        <v>2025年7月26日 〜 2025年7月27日 1泊</v>
      </c>
      <c r="U38" s="3" t="str">
        <f t="shared" si="7"/>
        <v>2名様</v>
      </c>
      <c r="V38" s="3" t="str">
        <f t="shared" si="4"/>
        <v>テスト太郎様</v>
      </c>
      <c r="W38" s="3" t="str">
        <f>IF($L38="希望しない", "希望しない", IF($L38="メールでのご連絡", "メール：" &amp; $M38, IF($L38="電話でのご連絡", "電話：" &amp; $N38, "")))</f>
        <v>希望しない</v>
      </c>
      <c r="X38" s="3" t="str">
        <f t="shared" si="5"/>
        <v>なし</v>
      </c>
      <c r="Y38" s="11" t="s">
        <v>271</v>
      </c>
    </row>
    <row r="39" spans="1:25">
      <c r="A39" s="4">
        <v>38</v>
      </c>
      <c r="B39" s="3" t="s">
        <v>4</v>
      </c>
      <c r="C39" s="4" t="s">
        <v>3</v>
      </c>
      <c r="D39" s="4" t="s">
        <v>241</v>
      </c>
      <c r="E39" s="8" t="str">
        <f t="shared" ca="1" si="9"/>
        <v>2025/07/26</v>
      </c>
      <c r="F39" s="4">
        <v>1</v>
      </c>
      <c r="G39" s="4">
        <v>2</v>
      </c>
      <c r="H39" s="4" t="s">
        <v>107</v>
      </c>
      <c r="I39" s="4" t="s">
        <v>108</v>
      </c>
      <c r="J39" s="4" t="s">
        <v>107</v>
      </c>
      <c r="K39" s="4" t="s">
        <v>38</v>
      </c>
      <c r="L39" s="4" t="s">
        <v>175</v>
      </c>
      <c r="M39" s="4" t="s">
        <v>50</v>
      </c>
      <c r="N39" s="4" t="s">
        <v>50</v>
      </c>
      <c r="O39" s="4" t="s">
        <v>50</v>
      </c>
      <c r="P39" s="3" t="s">
        <v>168</v>
      </c>
      <c r="Q39" s="3" t="str">
        <f t="shared" ca="1" si="1"/>
        <v>2025年7月26日</v>
      </c>
      <c r="R39" s="3" t="str">
        <f t="shared" ca="1" si="2"/>
        <v>2025年7月27日</v>
      </c>
      <c r="S39" s="3" t="str">
        <f t="shared" si="6"/>
        <v>1泊</v>
      </c>
      <c r="T39" s="3" t="str">
        <f t="shared" ca="1" si="3"/>
        <v>2025年7月26日 〜 2025年7月27日 1泊</v>
      </c>
      <c r="U39" s="3" t="str">
        <f t="shared" si="7"/>
        <v>2名様</v>
      </c>
      <c r="V39" s="3" t="str">
        <f t="shared" si="4"/>
        <v>テスト太郎様</v>
      </c>
      <c r="W39" s="3" t="str">
        <f>IF($L39="希望しない", "希望しない", IF($L39="メールでのご連絡", "メール：" &amp; $M39, IF($L39="電話でのご連絡", "電話：" &amp; $N39, "")))</f>
        <v>希望しない</v>
      </c>
      <c r="X39" s="3" t="str">
        <f t="shared" si="5"/>
        <v>なし</v>
      </c>
      <c r="Y39" s="11" t="s">
        <v>264</v>
      </c>
    </row>
    <row r="40" spans="1:25">
      <c r="A40" s="4">
        <v>39</v>
      </c>
      <c r="B40" s="3" t="s">
        <v>4</v>
      </c>
      <c r="C40" s="4" t="s">
        <v>3</v>
      </c>
      <c r="D40" s="4" t="s">
        <v>242</v>
      </c>
      <c r="E40" s="8" t="str">
        <f t="shared" ca="1" si="9"/>
        <v>2025/07/26</v>
      </c>
      <c r="F40" s="4">
        <v>1</v>
      </c>
      <c r="G40" s="4">
        <v>2</v>
      </c>
      <c r="H40" s="4" t="s">
        <v>108</v>
      </c>
      <c r="I40" s="4" t="s">
        <v>107</v>
      </c>
      <c r="J40" s="4" t="s">
        <v>107</v>
      </c>
      <c r="K40" s="4" t="s">
        <v>38</v>
      </c>
      <c r="L40" s="4" t="s">
        <v>175</v>
      </c>
      <c r="M40" s="4" t="s">
        <v>50</v>
      </c>
      <c r="N40" s="4" t="s">
        <v>50</v>
      </c>
      <c r="O40" s="4" t="s">
        <v>50</v>
      </c>
      <c r="P40" s="3" t="s">
        <v>169</v>
      </c>
      <c r="Q40" s="3" t="str">
        <f t="shared" ca="1" si="1"/>
        <v>2025年7月26日</v>
      </c>
      <c r="R40" s="3" t="str">
        <f t="shared" ca="1" si="2"/>
        <v>2025年7月27日</v>
      </c>
      <c r="S40" s="3" t="str">
        <f t="shared" si="6"/>
        <v>1泊</v>
      </c>
      <c r="T40" s="3" t="str">
        <f t="shared" ca="1" si="3"/>
        <v>2025年7月26日 〜 2025年7月27日 1泊</v>
      </c>
      <c r="U40" s="3" t="str">
        <f t="shared" si="7"/>
        <v>2名様</v>
      </c>
      <c r="V40" s="3" t="str">
        <f t="shared" si="4"/>
        <v>テスト太郎様</v>
      </c>
      <c r="W40" s="3" t="str">
        <f>IF($L40="希望しない", "希望しない", IF($L40="メールでのご連絡", "メール：" &amp; $M40, IF($L40="電話でのご連絡", "電話：" &amp; $N40, "")))</f>
        <v>希望しない</v>
      </c>
      <c r="X40" s="3" t="str">
        <f t="shared" si="5"/>
        <v>なし</v>
      </c>
      <c r="Y40" s="11" t="s">
        <v>269</v>
      </c>
    </row>
    <row r="41" spans="1:25">
      <c r="A41" s="4">
        <v>40</v>
      </c>
      <c r="B41" s="3" t="s">
        <v>4</v>
      </c>
      <c r="C41" s="4" t="s">
        <v>3</v>
      </c>
      <c r="D41" s="4" t="s">
        <v>243</v>
      </c>
      <c r="E41" s="8" t="str">
        <f t="shared" ca="1" si="9"/>
        <v>2025/07/26</v>
      </c>
      <c r="F41" s="4">
        <v>1</v>
      </c>
      <c r="G41" s="4">
        <v>2</v>
      </c>
      <c r="H41" s="4" t="s">
        <v>108</v>
      </c>
      <c r="I41" s="4" t="s">
        <v>108</v>
      </c>
      <c r="J41" s="4" t="s">
        <v>108</v>
      </c>
      <c r="K41" s="4" t="s">
        <v>38</v>
      </c>
      <c r="L41" s="4" t="s">
        <v>175</v>
      </c>
      <c r="M41" s="4" t="s">
        <v>50</v>
      </c>
      <c r="N41" s="4" t="s">
        <v>50</v>
      </c>
      <c r="O41" s="4" t="s">
        <v>50</v>
      </c>
      <c r="P41" s="3" t="s">
        <v>166</v>
      </c>
      <c r="Q41" s="3" t="str">
        <f t="shared" ca="1" si="1"/>
        <v>2025年7月26日</v>
      </c>
      <c r="R41" s="3" t="str">
        <f t="shared" ca="1" si="2"/>
        <v>2025年7月27日</v>
      </c>
      <c r="S41" s="3" t="str">
        <f t="shared" si="6"/>
        <v>1泊</v>
      </c>
      <c r="T41" s="3" t="str">
        <f t="shared" ca="1" si="3"/>
        <v>2025年7月26日 〜 2025年7月27日 1泊</v>
      </c>
      <c r="U41" s="3" t="str">
        <f t="shared" si="7"/>
        <v>2名様</v>
      </c>
      <c r="V41" s="3" t="str">
        <f t="shared" si="4"/>
        <v>テスト太郎様</v>
      </c>
      <c r="W41" s="3" t="str">
        <f>IF($L41="希望しない", "希望しない", IF($L41="メールでのご連絡", "メール：" &amp; $M41, IF($L41="電話でのご連絡", "電話：" &amp; $N41, "")))</f>
        <v>希望しない</v>
      </c>
      <c r="X41" s="3" t="str">
        <f t="shared" si="5"/>
        <v>なし</v>
      </c>
      <c r="Y41" s="11" t="s">
        <v>277</v>
      </c>
    </row>
    <row r="42" spans="1:25">
      <c r="A42" s="4">
        <v>41</v>
      </c>
      <c r="B42" s="3" t="s">
        <v>4</v>
      </c>
      <c r="C42" s="4" t="s">
        <v>3</v>
      </c>
      <c r="D42" s="4" t="s">
        <v>237</v>
      </c>
      <c r="E42" s="8" t="str">
        <f t="shared" ca="1" si="9"/>
        <v>2025/07/26</v>
      </c>
      <c r="F42" s="4">
        <v>1</v>
      </c>
      <c r="G42" s="4">
        <v>1</v>
      </c>
      <c r="H42" s="4" t="s">
        <v>107</v>
      </c>
      <c r="I42" s="4" t="s">
        <v>107</v>
      </c>
      <c r="J42" s="4" t="s">
        <v>108</v>
      </c>
      <c r="K42" s="4" t="s">
        <v>38</v>
      </c>
      <c r="L42" s="4" t="s">
        <v>175</v>
      </c>
      <c r="M42" s="4" t="s">
        <v>50</v>
      </c>
      <c r="N42" s="4" t="s">
        <v>50</v>
      </c>
      <c r="O42" s="4" t="s">
        <v>50</v>
      </c>
      <c r="P42" s="3" t="s">
        <v>165</v>
      </c>
      <c r="Q42" s="3" t="str">
        <f t="shared" ca="1" si="1"/>
        <v>2025年7月26日</v>
      </c>
      <c r="R42" s="3" t="str">
        <f t="shared" ca="1" si="2"/>
        <v>2025年7月27日</v>
      </c>
      <c r="S42" s="3" t="str">
        <f t="shared" si="6"/>
        <v>1泊</v>
      </c>
      <c r="T42" s="3" t="str">
        <f t="shared" ca="1" si="3"/>
        <v>2025年7月26日 〜 2025年7月27日 1泊</v>
      </c>
      <c r="U42" s="3" t="str">
        <f t="shared" si="7"/>
        <v>1名様</v>
      </c>
      <c r="V42" s="3" t="str">
        <f t="shared" si="4"/>
        <v>テスト太郎様</v>
      </c>
      <c r="W42" s="3" t="str">
        <f>IF($L42="希望しない", "希望しない", IF($L42="メールでのご連絡", "メール：" &amp; $M42, IF($L42="電話でのご連絡", "電話：" &amp; $N42, "")))</f>
        <v>希望しない</v>
      </c>
      <c r="X42" s="3" t="str">
        <f t="shared" si="5"/>
        <v>なし</v>
      </c>
      <c r="Y42" s="11" t="s">
        <v>278</v>
      </c>
    </row>
    <row r="43" spans="1:25">
      <c r="A43" s="4">
        <v>42</v>
      </c>
      <c r="B43" s="3" t="s">
        <v>4</v>
      </c>
      <c r="C43" s="4" t="s">
        <v>3</v>
      </c>
      <c r="D43" s="4" t="s">
        <v>238</v>
      </c>
      <c r="E43" s="8" t="str">
        <f t="shared" ca="1" si="9"/>
        <v>2025/07/26</v>
      </c>
      <c r="F43" s="4">
        <v>1</v>
      </c>
      <c r="G43" s="4">
        <v>1</v>
      </c>
      <c r="H43" s="4" t="s">
        <v>107</v>
      </c>
      <c r="I43" s="4" t="s">
        <v>108</v>
      </c>
      <c r="J43" s="4" t="s">
        <v>107</v>
      </c>
      <c r="K43" s="4" t="s">
        <v>38</v>
      </c>
      <c r="L43" s="4" t="s">
        <v>175</v>
      </c>
      <c r="M43" s="4" t="s">
        <v>50</v>
      </c>
      <c r="N43" s="4" t="s">
        <v>50</v>
      </c>
      <c r="O43" s="4" t="s">
        <v>50</v>
      </c>
      <c r="P43" s="3" t="s">
        <v>167</v>
      </c>
      <c r="Q43" s="3" t="str">
        <f t="shared" ca="1" si="1"/>
        <v>2025年7月26日</v>
      </c>
      <c r="R43" s="3" t="str">
        <f t="shared" ca="1" si="2"/>
        <v>2025年7月27日</v>
      </c>
      <c r="S43" s="3" t="str">
        <f t="shared" si="6"/>
        <v>1泊</v>
      </c>
      <c r="T43" s="3" t="str">
        <f t="shared" ca="1" si="3"/>
        <v>2025年7月26日 〜 2025年7月27日 1泊</v>
      </c>
      <c r="U43" s="3" t="str">
        <f t="shared" si="7"/>
        <v>1名様</v>
      </c>
      <c r="V43" s="3" t="str">
        <f t="shared" si="4"/>
        <v>テスト太郎様</v>
      </c>
      <c r="W43" s="3" t="str">
        <f>IF($L43="希望しない", "希望しない", IF($L43="メールでのご連絡", "メール：" &amp; $M43, IF($L43="電話でのご連絡", "電話：" &amp; $N43, "")))</f>
        <v>希望しない</v>
      </c>
      <c r="X43" s="3" t="str">
        <f t="shared" si="5"/>
        <v>なし</v>
      </c>
      <c r="Y43" s="11" t="s">
        <v>279</v>
      </c>
    </row>
    <row r="44" spans="1:25">
      <c r="A44" s="4">
        <v>43</v>
      </c>
      <c r="B44" s="3" t="s">
        <v>4</v>
      </c>
      <c r="C44" s="4" t="s">
        <v>3</v>
      </c>
      <c r="D44" s="4" t="s">
        <v>239</v>
      </c>
      <c r="E44" s="8" t="str">
        <f t="shared" ca="1" si="9"/>
        <v>2025/07/26</v>
      </c>
      <c r="F44" s="4">
        <v>1</v>
      </c>
      <c r="G44" s="4">
        <v>1</v>
      </c>
      <c r="H44" s="4" t="s">
        <v>108</v>
      </c>
      <c r="I44" s="4" t="s">
        <v>107</v>
      </c>
      <c r="J44" s="4" t="s">
        <v>107</v>
      </c>
      <c r="K44" s="4" t="s">
        <v>38</v>
      </c>
      <c r="L44" s="4" t="s">
        <v>175</v>
      </c>
      <c r="M44" s="4" t="s">
        <v>50</v>
      </c>
      <c r="N44" s="4" t="s">
        <v>50</v>
      </c>
      <c r="O44" s="4" t="s">
        <v>50</v>
      </c>
      <c r="P44" s="3" t="s">
        <v>170</v>
      </c>
      <c r="Q44" s="3" t="str">
        <f t="shared" ca="1" si="1"/>
        <v>2025年7月26日</v>
      </c>
      <c r="R44" s="3" t="str">
        <f t="shared" ca="1" si="2"/>
        <v>2025年7月27日</v>
      </c>
      <c r="S44" s="3" t="str">
        <f t="shared" si="6"/>
        <v>1泊</v>
      </c>
      <c r="T44" s="3" t="str">
        <f t="shared" ca="1" si="3"/>
        <v>2025年7月26日 〜 2025年7月27日 1泊</v>
      </c>
      <c r="U44" s="3" t="str">
        <f t="shared" si="7"/>
        <v>1名様</v>
      </c>
      <c r="V44" s="3" t="str">
        <f t="shared" si="4"/>
        <v>テスト太郎様</v>
      </c>
      <c r="W44" s="3" t="str">
        <f>IF($L44="希望しない", "希望しない", IF($L44="メールでのご連絡", "メール：" &amp; $M44, IF($L44="電話でのご連絡", "電話：" &amp; $N44, "")))</f>
        <v>希望しない</v>
      </c>
      <c r="X44" s="3" t="str">
        <f t="shared" si="5"/>
        <v>なし</v>
      </c>
      <c r="Y44" s="11" t="s">
        <v>280</v>
      </c>
    </row>
    <row r="45" spans="1:25">
      <c r="A45" s="4">
        <v>44</v>
      </c>
      <c r="B45" s="3" t="s">
        <v>4</v>
      </c>
      <c r="C45" s="4" t="s">
        <v>3</v>
      </c>
      <c r="D45" s="4" t="s">
        <v>240</v>
      </c>
      <c r="E45" s="8" t="str">
        <f t="shared" ca="1" si="9"/>
        <v>2025/07/26</v>
      </c>
      <c r="F45" s="4">
        <v>1</v>
      </c>
      <c r="G45" s="4">
        <v>1</v>
      </c>
      <c r="H45" s="4" t="s">
        <v>108</v>
      </c>
      <c r="I45" s="4" t="s">
        <v>108</v>
      </c>
      <c r="J45" s="4" t="s">
        <v>108</v>
      </c>
      <c r="K45" s="4" t="s">
        <v>38</v>
      </c>
      <c r="L45" s="4" t="s">
        <v>175</v>
      </c>
      <c r="M45" s="4" t="s">
        <v>50</v>
      </c>
      <c r="N45" s="4" t="s">
        <v>50</v>
      </c>
      <c r="O45" s="4" t="s">
        <v>50</v>
      </c>
      <c r="P45" s="3" t="s">
        <v>171</v>
      </c>
      <c r="Q45" s="3" t="str">
        <f t="shared" ca="1" si="1"/>
        <v>2025年7月26日</v>
      </c>
      <c r="R45" s="3" t="str">
        <f t="shared" ca="1" si="2"/>
        <v>2025年7月27日</v>
      </c>
      <c r="S45" s="3" t="str">
        <f t="shared" si="6"/>
        <v>1泊</v>
      </c>
      <c r="T45" s="3" t="str">
        <f t="shared" ca="1" si="3"/>
        <v>2025年7月26日 〜 2025年7月27日 1泊</v>
      </c>
      <c r="U45" s="3" t="str">
        <f t="shared" si="7"/>
        <v>1名様</v>
      </c>
      <c r="V45" s="3" t="str">
        <f t="shared" si="4"/>
        <v>テスト太郎様</v>
      </c>
      <c r="W45" s="3" t="str">
        <f>IF($L45="希望しない", "希望しない", IF($L45="メールでのご連絡", "メール：" &amp; $M45, IF($L45="電話でのご連絡", "電話：" &amp; $N45, "")))</f>
        <v>希望しない</v>
      </c>
      <c r="X45" s="3" t="str">
        <f t="shared" si="5"/>
        <v>なし</v>
      </c>
      <c r="Y45" s="11" t="s">
        <v>281</v>
      </c>
    </row>
    <row r="46" spans="1:25">
      <c r="A46" s="4">
        <v>45</v>
      </c>
      <c r="B46" s="3" t="s">
        <v>4</v>
      </c>
      <c r="C46" s="4" t="s">
        <v>3</v>
      </c>
      <c r="D46" s="4" t="s">
        <v>241</v>
      </c>
      <c r="E46" s="8" t="str">
        <f t="shared" ca="1" si="9"/>
        <v>2025/07/26</v>
      </c>
      <c r="F46" s="4">
        <v>1</v>
      </c>
      <c r="G46" s="4">
        <v>2</v>
      </c>
      <c r="H46" s="4" t="s">
        <v>107</v>
      </c>
      <c r="I46" s="4" t="s">
        <v>107</v>
      </c>
      <c r="J46" s="4" t="s">
        <v>107</v>
      </c>
      <c r="K46" s="4" t="s">
        <v>38</v>
      </c>
      <c r="L46" s="4" t="s">
        <v>175</v>
      </c>
      <c r="M46" s="4" t="s">
        <v>50</v>
      </c>
      <c r="N46" s="4" t="s">
        <v>50</v>
      </c>
      <c r="O46" s="4" t="s">
        <v>50</v>
      </c>
      <c r="P46" s="3" t="s">
        <v>168</v>
      </c>
      <c r="Q46" s="3" t="str">
        <f t="shared" ca="1" si="1"/>
        <v>2025年7月26日</v>
      </c>
      <c r="R46" s="3" t="str">
        <f t="shared" ca="1" si="2"/>
        <v>2025年7月27日</v>
      </c>
      <c r="S46" s="3" t="str">
        <f t="shared" si="6"/>
        <v>1泊</v>
      </c>
      <c r="T46" s="3" t="str">
        <f t="shared" ca="1" si="3"/>
        <v>2025年7月26日 〜 2025年7月27日 1泊</v>
      </c>
      <c r="U46" s="3" t="str">
        <f t="shared" si="7"/>
        <v>2名様</v>
      </c>
      <c r="V46" s="3" t="str">
        <f t="shared" si="4"/>
        <v>テスト太郎様</v>
      </c>
      <c r="W46" s="3" t="str">
        <f>IF($L46="希望しない", "希望しない", IF($L46="メールでのご連絡", "メール：" &amp; $M46, IF($L46="電話でのご連絡", "電話：" &amp; $N46, "")))</f>
        <v>希望しない</v>
      </c>
      <c r="X46" s="3" t="str">
        <f t="shared" si="5"/>
        <v>なし</v>
      </c>
      <c r="Y46" s="11" t="s">
        <v>282</v>
      </c>
    </row>
    <row r="47" spans="1:25">
      <c r="A47" s="4">
        <v>46</v>
      </c>
      <c r="B47" s="3" t="s">
        <v>4</v>
      </c>
      <c r="C47" s="4" t="s">
        <v>3</v>
      </c>
      <c r="D47" s="4" t="s">
        <v>242</v>
      </c>
      <c r="E47" s="8" t="str">
        <f t="shared" ca="1" si="9"/>
        <v>2025/07/26</v>
      </c>
      <c r="F47" s="4">
        <v>1</v>
      </c>
      <c r="G47" s="4">
        <v>2</v>
      </c>
      <c r="H47" s="4" t="s">
        <v>107</v>
      </c>
      <c r="I47" s="4" t="s">
        <v>108</v>
      </c>
      <c r="J47" s="4" t="s">
        <v>108</v>
      </c>
      <c r="K47" s="4" t="s">
        <v>38</v>
      </c>
      <c r="L47" s="4" t="s">
        <v>175</v>
      </c>
      <c r="M47" s="4" t="s">
        <v>50</v>
      </c>
      <c r="N47" s="4" t="s">
        <v>50</v>
      </c>
      <c r="O47" s="4" t="s">
        <v>50</v>
      </c>
      <c r="P47" s="3" t="s">
        <v>169</v>
      </c>
      <c r="Q47" s="3" t="str">
        <f t="shared" ca="1" si="1"/>
        <v>2025年7月26日</v>
      </c>
      <c r="R47" s="3" t="str">
        <f t="shared" ca="1" si="2"/>
        <v>2025年7月27日</v>
      </c>
      <c r="S47" s="3" t="str">
        <f t="shared" si="6"/>
        <v>1泊</v>
      </c>
      <c r="T47" s="3" t="str">
        <f t="shared" ca="1" si="3"/>
        <v>2025年7月26日 〜 2025年7月27日 1泊</v>
      </c>
      <c r="U47" s="3" t="str">
        <f t="shared" si="7"/>
        <v>2名様</v>
      </c>
      <c r="V47" s="3" t="str">
        <f t="shared" si="4"/>
        <v>テスト太郎様</v>
      </c>
      <c r="W47" s="3" t="str">
        <f>IF($L47="希望しない", "希望しない", IF($L47="メールでのご連絡", "メール：" &amp; $M47, IF($L47="電話でのご連絡", "電話：" &amp; $N47, "")))</f>
        <v>希望しない</v>
      </c>
      <c r="X47" s="3" t="str">
        <f t="shared" si="5"/>
        <v>なし</v>
      </c>
      <c r="Y47" s="11" t="s">
        <v>283</v>
      </c>
    </row>
    <row r="48" spans="1:25">
      <c r="A48" s="4">
        <v>47</v>
      </c>
      <c r="B48" s="3" t="s">
        <v>4</v>
      </c>
      <c r="C48" s="4" t="s">
        <v>3</v>
      </c>
      <c r="D48" s="4" t="s">
        <v>243</v>
      </c>
      <c r="E48" s="8" t="str">
        <f t="shared" ca="1" si="9"/>
        <v>2025/07/26</v>
      </c>
      <c r="F48" s="4">
        <v>1</v>
      </c>
      <c r="G48" s="4">
        <v>2</v>
      </c>
      <c r="H48" s="4" t="s">
        <v>108</v>
      </c>
      <c r="I48" s="4" t="s">
        <v>107</v>
      </c>
      <c r="J48" s="4" t="s">
        <v>108</v>
      </c>
      <c r="K48" s="4" t="s">
        <v>38</v>
      </c>
      <c r="L48" s="4" t="s">
        <v>175</v>
      </c>
      <c r="M48" s="4" t="s">
        <v>50</v>
      </c>
      <c r="N48" s="4" t="s">
        <v>50</v>
      </c>
      <c r="O48" s="4" t="s">
        <v>50</v>
      </c>
      <c r="P48" s="3" t="s">
        <v>166</v>
      </c>
      <c r="Q48" s="3" t="str">
        <f t="shared" ca="1" si="1"/>
        <v>2025年7月26日</v>
      </c>
      <c r="R48" s="3" t="str">
        <f t="shared" ca="1" si="2"/>
        <v>2025年7月27日</v>
      </c>
      <c r="S48" s="3" t="str">
        <f t="shared" si="6"/>
        <v>1泊</v>
      </c>
      <c r="T48" s="3" t="str">
        <f t="shared" ca="1" si="3"/>
        <v>2025年7月26日 〜 2025年7月27日 1泊</v>
      </c>
      <c r="U48" s="3" t="str">
        <f t="shared" si="7"/>
        <v>2名様</v>
      </c>
      <c r="V48" s="3" t="str">
        <f t="shared" si="4"/>
        <v>テスト太郎様</v>
      </c>
      <c r="W48" s="3" t="str">
        <f>IF($L48="希望しない", "希望しない", IF($L48="メールでのご連絡", "メール：" &amp; $M48, IF($L48="電話でのご連絡", "電話：" &amp; $N48, "")))</f>
        <v>希望しない</v>
      </c>
      <c r="X48" s="3" t="str">
        <f t="shared" si="5"/>
        <v>なし</v>
      </c>
      <c r="Y48" s="11" t="s">
        <v>284</v>
      </c>
    </row>
    <row r="49" spans="1:25">
      <c r="A49" s="4">
        <v>48</v>
      </c>
      <c r="B49" s="3" t="s">
        <v>4</v>
      </c>
      <c r="C49" s="4" t="s">
        <v>3</v>
      </c>
      <c r="D49" s="4" t="s">
        <v>244</v>
      </c>
      <c r="E49" s="8" t="str">
        <f t="shared" ca="1" si="9"/>
        <v>2025/07/26</v>
      </c>
      <c r="F49" s="4">
        <v>1</v>
      </c>
      <c r="G49" s="4">
        <v>2</v>
      </c>
      <c r="H49" s="4" t="s">
        <v>108</v>
      </c>
      <c r="I49" s="4" t="s">
        <v>108</v>
      </c>
      <c r="J49" s="4" t="s">
        <v>107</v>
      </c>
      <c r="K49" s="4" t="s">
        <v>38</v>
      </c>
      <c r="L49" s="4" t="s">
        <v>175</v>
      </c>
      <c r="M49" s="4" t="s">
        <v>50</v>
      </c>
      <c r="N49" s="4" t="s">
        <v>50</v>
      </c>
      <c r="O49" s="4" t="s">
        <v>50</v>
      </c>
      <c r="P49" s="3" t="s">
        <v>172</v>
      </c>
      <c r="Q49" s="3" t="str">
        <f t="shared" ca="1" si="1"/>
        <v>2025年7月26日</v>
      </c>
      <c r="R49" s="3" t="str">
        <f t="shared" ca="1" si="2"/>
        <v>2025年7月27日</v>
      </c>
      <c r="S49" s="3" t="str">
        <f t="shared" si="6"/>
        <v>1泊</v>
      </c>
      <c r="T49" s="3" t="str">
        <f t="shared" ca="1" si="3"/>
        <v>2025年7月26日 〜 2025年7月27日 1泊</v>
      </c>
      <c r="U49" s="3" t="str">
        <f t="shared" si="7"/>
        <v>2名様</v>
      </c>
      <c r="V49" s="3" t="str">
        <f t="shared" si="4"/>
        <v>テスト太郎様</v>
      </c>
      <c r="W49" s="3" t="str">
        <f>IF($L49="希望しない", "希望しない", IF($L49="メールでのご連絡", "メール：" &amp; $M49, IF($L49="電話でのご連絡", "電話：" &amp; $N49, "")))</f>
        <v>希望しない</v>
      </c>
      <c r="X49" s="3" t="str">
        <f t="shared" si="5"/>
        <v>なし</v>
      </c>
      <c r="Y49" s="11" t="s">
        <v>256</v>
      </c>
    </row>
    <row r="50" spans="1:25">
      <c r="A50" s="4">
        <v>49</v>
      </c>
      <c r="B50" s="3" t="s">
        <v>4</v>
      </c>
      <c r="C50" s="4" t="s">
        <v>3</v>
      </c>
      <c r="D50" s="4" t="s">
        <v>238</v>
      </c>
      <c r="E50" s="8" t="str">
        <f ca="1">TEXT(TODAY()+7-WEEKDAY(TODAY(),1)+IF(WEEKDAY(TODAY(),1)&lt;FIND("日","日月火水木金土",1),-6,1),"yyyy/mm/dd")</f>
        <v>2025/07/27</v>
      </c>
      <c r="F50" s="4">
        <v>2</v>
      </c>
      <c r="G50" s="4">
        <v>1</v>
      </c>
      <c r="H50" s="4" t="s">
        <v>107</v>
      </c>
      <c r="I50" s="4" t="s">
        <v>107</v>
      </c>
      <c r="J50" s="4" t="s">
        <v>107</v>
      </c>
      <c r="K50" s="4" t="s">
        <v>38</v>
      </c>
      <c r="L50" s="4" t="s">
        <v>175</v>
      </c>
      <c r="M50" s="4" t="s">
        <v>50</v>
      </c>
      <c r="N50" s="4" t="s">
        <v>50</v>
      </c>
      <c r="O50" s="4" t="s">
        <v>50</v>
      </c>
      <c r="P50" s="3" t="s">
        <v>167</v>
      </c>
      <c r="Q50" s="3" t="str">
        <f t="shared" ca="1" si="1"/>
        <v>2025年7月27日</v>
      </c>
      <c r="R50" s="3" t="str">
        <f t="shared" ca="1" si="2"/>
        <v>2025年7月29日</v>
      </c>
      <c r="S50" s="3" t="str">
        <f t="shared" si="6"/>
        <v>2泊</v>
      </c>
      <c r="T50" s="3" t="str">
        <f t="shared" ca="1" si="3"/>
        <v>2025年7月27日 〜 2025年7月29日 2泊</v>
      </c>
      <c r="U50" s="3" t="str">
        <f t="shared" si="7"/>
        <v>1名様</v>
      </c>
      <c r="V50" s="3" t="str">
        <f t="shared" si="4"/>
        <v>テスト太郎様</v>
      </c>
      <c r="W50" s="3" t="str">
        <f>IF($L50="希望しない", "希望しない", IF($L50="メールでのご連絡", "メール：" &amp; $M50, IF($L50="電話でのご連絡", "電話：" &amp; $N50, "")))</f>
        <v>希望しない</v>
      </c>
      <c r="X50" s="3" t="str">
        <f t="shared" si="5"/>
        <v>なし</v>
      </c>
      <c r="Y50" s="11" t="s">
        <v>285</v>
      </c>
    </row>
    <row r="51" spans="1:25">
      <c r="A51" s="4">
        <v>50</v>
      </c>
      <c r="B51" s="3" t="s">
        <v>4</v>
      </c>
      <c r="C51" s="4" t="s">
        <v>3</v>
      </c>
      <c r="D51" s="4" t="s">
        <v>239</v>
      </c>
      <c r="E51" s="8" t="str">
        <f t="shared" ref="E51:E57" ca="1" si="10">TEXT(TODAY()+7-WEEKDAY(TODAY(),1)+IF(WEEKDAY(TODAY(),1)&lt;FIND("日","日月火水木金土",1),-6,1),"yyyy/mm/dd")</f>
        <v>2025/07/27</v>
      </c>
      <c r="F51" s="4">
        <v>2</v>
      </c>
      <c r="G51" s="4">
        <v>1</v>
      </c>
      <c r="H51" s="4" t="s">
        <v>107</v>
      </c>
      <c r="I51" s="4" t="s">
        <v>108</v>
      </c>
      <c r="J51" s="4" t="s">
        <v>108</v>
      </c>
      <c r="K51" s="4" t="s">
        <v>38</v>
      </c>
      <c r="L51" s="4" t="s">
        <v>175</v>
      </c>
      <c r="M51" s="4" t="s">
        <v>50</v>
      </c>
      <c r="N51" s="4" t="s">
        <v>50</v>
      </c>
      <c r="O51" s="4" t="s">
        <v>50</v>
      </c>
      <c r="P51" s="3" t="s">
        <v>170</v>
      </c>
      <c r="Q51" s="3" t="str">
        <f t="shared" ca="1" si="1"/>
        <v>2025年7月27日</v>
      </c>
      <c r="R51" s="3" t="str">
        <f t="shared" ca="1" si="2"/>
        <v>2025年7月29日</v>
      </c>
      <c r="S51" s="3" t="str">
        <f t="shared" si="6"/>
        <v>2泊</v>
      </c>
      <c r="T51" s="3" t="str">
        <f t="shared" ca="1" si="3"/>
        <v>2025年7月27日 〜 2025年7月29日 2泊</v>
      </c>
      <c r="U51" s="3" t="str">
        <f t="shared" si="7"/>
        <v>1名様</v>
      </c>
      <c r="V51" s="3" t="str">
        <f t="shared" si="4"/>
        <v>テスト太郎様</v>
      </c>
      <c r="W51" s="3" t="str">
        <f>IF($L51="希望しない", "希望しない", IF($L51="メールでのご連絡", "メール：" &amp; $M51, IF($L51="電話でのご連絡", "電話：" &amp; $N51, "")))</f>
        <v>希望しない</v>
      </c>
      <c r="X51" s="3" t="str">
        <f t="shared" si="5"/>
        <v>なし</v>
      </c>
      <c r="Y51" s="11" t="s">
        <v>286</v>
      </c>
    </row>
    <row r="52" spans="1:25">
      <c r="A52" s="4">
        <v>51</v>
      </c>
      <c r="B52" s="3" t="s">
        <v>4</v>
      </c>
      <c r="C52" s="4" t="s">
        <v>3</v>
      </c>
      <c r="D52" s="4" t="s">
        <v>240</v>
      </c>
      <c r="E52" s="8" t="str">
        <f t="shared" ca="1" si="10"/>
        <v>2025/07/27</v>
      </c>
      <c r="F52" s="4">
        <v>2</v>
      </c>
      <c r="G52" s="4">
        <v>1</v>
      </c>
      <c r="H52" s="4" t="s">
        <v>108</v>
      </c>
      <c r="I52" s="4" t="s">
        <v>107</v>
      </c>
      <c r="J52" s="4" t="s">
        <v>108</v>
      </c>
      <c r="K52" s="4" t="s">
        <v>38</v>
      </c>
      <c r="L52" s="4" t="s">
        <v>175</v>
      </c>
      <c r="M52" s="4" t="s">
        <v>50</v>
      </c>
      <c r="N52" s="4" t="s">
        <v>50</v>
      </c>
      <c r="O52" s="4" t="s">
        <v>50</v>
      </c>
      <c r="P52" s="3" t="s">
        <v>171</v>
      </c>
      <c r="Q52" s="3" t="str">
        <f t="shared" ca="1" si="1"/>
        <v>2025年7月27日</v>
      </c>
      <c r="R52" s="3" t="str">
        <f t="shared" ca="1" si="2"/>
        <v>2025年7月29日</v>
      </c>
      <c r="S52" s="3" t="str">
        <f t="shared" si="6"/>
        <v>2泊</v>
      </c>
      <c r="T52" s="3" t="str">
        <f t="shared" ca="1" si="3"/>
        <v>2025年7月27日 〜 2025年7月29日 2泊</v>
      </c>
      <c r="U52" s="3" t="str">
        <f t="shared" si="7"/>
        <v>1名様</v>
      </c>
      <c r="V52" s="3" t="str">
        <f t="shared" si="4"/>
        <v>テスト太郎様</v>
      </c>
      <c r="W52" s="3" t="str">
        <f>IF($L52="希望しない", "希望しない", IF($L52="メールでのご連絡", "メール：" &amp; $M52, IF($L52="電話でのご連絡", "電話：" &amp; $N52, "")))</f>
        <v>希望しない</v>
      </c>
      <c r="X52" s="3" t="str">
        <f t="shared" si="5"/>
        <v>なし</v>
      </c>
      <c r="Y52" s="11" t="s">
        <v>287</v>
      </c>
    </row>
    <row r="53" spans="1:25">
      <c r="A53" s="4">
        <v>52</v>
      </c>
      <c r="B53" s="3" t="s">
        <v>4</v>
      </c>
      <c r="C53" s="4" t="s">
        <v>3</v>
      </c>
      <c r="D53" s="4" t="s">
        <v>245</v>
      </c>
      <c r="E53" s="8" t="str">
        <f t="shared" ca="1" si="10"/>
        <v>2025/07/27</v>
      </c>
      <c r="F53" s="4">
        <v>2</v>
      </c>
      <c r="G53" s="4">
        <v>1</v>
      </c>
      <c r="H53" s="4" t="s">
        <v>108</v>
      </c>
      <c r="I53" s="4" t="s">
        <v>108</v>
      </c>
      <c r="J53" s="4" t="s">
        <v>107</v>
      </c>
      <c r="K53" s="4" t="s">
        <v>38</v>
      </c>
      <c r="L53" s="4" t="s">
        <v>175</v>
      </c>
      <c r="M53" s="4" t="s">
        <v>50</v>
      </c>
      <c r="N53" s="4" t="s">
        <v>50</v>
      </c>
      <c r="O53" s="4" t="s">
        <v>50</v>
      </c>
      <c r="P53" s="3" t="s">
        <v>171</v>
      </c>
      <c r="Q53" s="3" t="str">
        <f t="shared" ca="1" si="1"/>
        <v>2025年7月27日</v>
      </c>
      <c r="R53" s="3" t="str">
        <f t="shared" ca="1" si="2"/>
        <v>2025年7月29日</v>
      </c>
      <c r="S53" s="3" t="str">
        <f t="shared" si="6"/>
        <v>2泊</v>
      </c>
      <c r="T53" s="3" t="str">
        <f t="shared" ca="1" si="3"/>
        <v>2025年7月27日 〜 2025年7月29日 2泊</v>
      </c>
      <c r="U53" s="3" t="str">
        <f t="shared" si="7"/>
        <v>1名様</v>
      </c>
      <c r="V53" s="3" t="str">
        <f t="shared" si="4"/>
        <v>テスト太郎様</v>
      </c>
      <c r="W53" s="3" t="str">
        <f>IF($L53="希望しない", "希望しない", IF($L53="メールでのご連絡", "メール：" &amp; $M53, IF($L53="電話でのご連絡", "電話：" &amp; $N53, "")))</f>
        <v>希望しない</v>
      </c>
      <c r="X53" s="3" t="str">
        <f t="shared" si="5"/>
        <v>なし</v>
      </c>
      <c r="Y53" s="11" t="s">
        <v>287</v>
      </c>
    </row>
    <row r="54" spans="1:25">
      <c r="A54" s="4">
        <v>53</v>
      </c>
      <c r="B54" s="3" t="s">
        <v>4</v>
      </c>
      <c r="C54" s="4" t="s">
        <v>3</v>
      </c>
      <c r="D54" s="4" t="s">
        <v>242</v>
      </c>
      <c r="E54" s="8" t="str">
        <f t="shared" ca="1" si="10"/>
        <v>2025/07/27</v>
      </c>
      <c r="F54" s="4">
        <v>2</v>
      </c>
      <c r="G54" s="4">
        <v>2</v>
      </c>
      <c r="H54" s="4" t="s">
        <v>107</v>
      </c>
      <c r="I54" s="4" t="s">
        <v>107</v>
      </c>
      <c r="J54" s="4" t="s">
        <v>108</v>
      </c>
      <c r="K54" s="4" t="s">
        <v>38</v>
      </c>
      <c r="L54" s="4" t="s">
        <v>175</v>
      </c>
      <c r="M54" s="4" t="s">
        <v>50</v>
      </c>
      <c r="N54" s="4" t="s">
        <v>50</v>
      </c>
      <c r="O54" s="4" t="s">
        <v>50</v>
      </c>
      <c r="P54" s="3" t="s">
        <v>169</v>
      </c>
      <c r="Q54" s="3" t="str">
        <f t="shared" ca="1" si="1"/>
        <v>2025年7月27日</v>
      </c>
      <c r="R54" s="3" t="str">
        <f t="shared" ca="1" si="2"/>
        <v>2025年7月29日</v>
      </c>
      <c r="S54" s="3" t="str">
        <f t="shared" si="6"/>
        <v>2泊</v>
      </c>
      <c r="T54" s="3" t="str">
        <f t="shared" ca="1" si="3"/>
        <v>2025年7月27日 〜 2025年7月29日 2泊</v>
      </c>
      <c r="U54" s="3" t="str">
        <f t="shared" si="7"/>
        <v>2名様</v>
      </c>
      <c r="V54" s="3" t="str">
        <f t="shared" si="4"/>
        <v>テスト太郎様</v>
      </c>
      <c r="W54" s="3" t="str">
        <f>IF($L54="希望しない", "希望しない", IF($L54="メールでのご連絡", "メール：" &amp; $M54, IF($L54="電話でのご連絡", "電話：" &amp; $N54, "")))</f>
        <v>希望しない</v>
      </c>
      <c r="X54" s="3" t="str">
        <f t="shared" si="5"/>
        <v>なし</v>
      </c>
      <c r="Y54" s="11" t="s">
        <v>288</v>
      </c>
    </row>
    <row r="55" spans="1:25">
      <c r="A55" s="4">
        <v>54</v>
      </c>
      <c r="B55" s="3" t="s">
        <v>4</v>
      </c>
      <c r="C55" s="4" t="s">
        <v>3</v>
      </c>
      <c r="D55" s="4" t="s">
        <v>243</v>
      </c>
      <c r="E55" s="8" t="str">
        <f t="shared" ca="1" si="10"/>
        <v>2025/07/27</v>
      </c>
      <c r="F55" s="4">
        <v>2</v>
      </c>
      <c r="G55" s="4">
        <v>2</v>
      </c>
      <c r="H55" s="4" t="s">
        <v>107</v>
      </c>
      <c r="I55" s="4" t="s">
        <v>108</v>
      </c>
      <c r="J55" s="4" t="s">
        <v>107</v>
      </c>
      <c r="K55" s="4" t="s">
        <v>38</v>
      </c>
      <c r="L55" s="4" t="s">
        <v>175</v>
      </c>
      <c r="M55" s="4" t="s">
        <v>50</v>
      </c>
      <c r="N55" s="4" t="s">
        <v>50</v>
      </c>
      <c r="O55" s="4" t="s">
        <v>50</v>
      </c>
      <c r="P55" s="3" t="s">
        <v>166</v>
      </c>
      <c r="Q55" s="3" t="str">
        <f t="shared" ca="1" si="1"/>
        <v>2025年7月27日</v>
      </c>
      <c r="R55" s="3" t="str">
        <f t="shared" ca="1" si="2"/>
        <v>2025年7月29日</v>
      </c>
      <c r="S55" s="3" t="str">
        <f t="shared" si="6"/>
        <v>2泊</v>
      </c>
      <c r="T55" s="3" t="str">
        <f t="shared" ca="1" si="3"/>
        <v>2025年7月27日 〜 2025年7月29日 2泊</v>
      </c>
      <c r="U55" s="3" t="str">
        <f t="shared" si="7"/>
        <v>2名様</v>
      </c>
      <c r="V55" s="3" t="str">
        <f t="shared" si="4"/>
        <v>テスト太郎様</v>
      </c>
      <c r="W55" s="3" t="str">
        <f>IF($L55="希望しない", "希望しない", IF($L55="メールでのご連絡", "メール：" &amp; $M55, IF($L55="電話でのご連絡", "電話：" &amp; $N55, "")))</f>
        <v>希望しない</v>
      </c>
      <c r="X55" s="3" t="str">
        <f t="shared" si="5"/>
        <v>なし</v>
      </c>
      <c r="Y55" s="11" t="s">
        <v>289</v>
      </c>
    </row>
    <row r="56" spans="1:25">
      <c r="A56" s="4">
        <v>55</v>
      </c>
      <c r="B56" s="3" t="s">
        <v>4</v>
      </c>
      <c r="C56" s="4" t="s">
        <v>3</v>
      </c>
      <c r="D56" s="4" t="s">
        <v>244</v>
      </c>
      <c r="E56" s="8" t="str">
        <f t="shared" ca="1" si="10"/>
        <v>2025/07/27</v>
      </c>
      <c r="F56" s="4">
        <v>2</v>
      </c>
      <c r="G56" s="4">
        <v>2</v>
      </c>
      <c r="H56" s="4" t="s">
        <v>108</v>
      </c>
      <c r="I56" s="4" t="s">
        <v>107</v>
      </c>
      <c r="J56" s="4" t="s">
        <v>107</v>
      </c>
      <c r="K56" s="4" t="s">
        <v>38</v>
      </c>
      <c r="L56" s="4" t="s">
        <v>175</v>
      </c>
      <c r="M56" s="4" t="s">
        <v>50</v>
      </c>
      <c r="N56" s="4" t="s">
        <v>50</v>
      </c>
      <c r="O56" s="4" t="s">
        <v>50</v>
      </c>
      <c r="P56" s="3" t="s">
        <v>172</v>
      </c>
      <c r="Q56" s="3" t="str">
        <f t="shared" ca="1" si="1"/>
        <v>2025年7月27日</v>
      </c>
      <c r="R56" s="3" t="str">
        <f t="shared" ca="1" si="2"/>
        <v>2025年7月29日</v>
      </c>
      <c r="S56" s="3" t="str">
        <f t="shared" si="6"/>
        <v>2泊</v>
      </c>
      <c r="T56" s="3" t="str">
        <f t="shared" ca="1" si="3"/>
        <v>2025年7月27日 〜 2025年7月29日 2泊</v>
      </c>
      <c r="U56" s="3" t="str">
        <f t="shared" si="7"/>
        <v>2名様</v>
      </c>
      <c r="V56" s="3" t="str">
        <f t="shared" si="4"/>
        <v>テスト太郎様</v>
      </c>
      <c r="W56" s="3" t="str">
        <f>IF($L56="希望しない", "希望しない", IF($L56="メールでのご連絡", "メール：" &amp; $M56, IF($L56="電話でのご連絡", "電話：" &amp; $N56, "")))</f>
        <v>希望しない</v>
      </c>
      <c r="X56" s="3" t="str">
        <f t="shared" si="5"/>
        <v>なし</v>
      </c>
      <c r="Y56" s="11" t="s">
        <v>290</v>
      </c>
    </row>
    <row r="57" spans="1:25">
      <c r="A57" s="4">
        <v>56</v>
      </c>
      <c r="B57" s="3" t="s">
        <v>4</v>
      </c>
      <c r="C57" s="4" t="s">
        <v>3</v>
      </c>
      <c r="D57" s="4" t="s">
        <v>246</v>
      </c>
      <c r="E57" s="8" t="str">
        <f t="shared" ca="1" si="10"/>
        <v>2025/07/27</v>
      </c>
      <c r="F57" s="4">
        <v>2</v>
      </c>
      <c r="G57" s="4">
        <v>2</v>
      </c>
      <c r="H57" s="4" t="s">
        <v>108</v>
      </c>
      <c r="I57" s="4" t="s">
        <v>108</v>
      </c>
      <c r="J57" s="4" t="s">
        <v>108</v>
      </c>
      <c r="K57" s="4" t="s">
        <v>38</v>
      </c>
      <c r="L57" s="4" t="s">
        <v>175</v>
      </c>
      <c r="M57" s="4" t="s">
        <v>50</v>
      </c>
      <c r="N57" s="4" t="s">
        <v>50</v>
      </c>
      <c r="O57" s="4" t="s">
        <v>50</v>
      </c>
      <c r="P57" s="3" t="s">
        <v>166</v>
      </c>
      <c r="Q57" s="3" t="str">
        <f t="shared" ca="1" si="1"/>
        <v>2025年7月27日</v>
      </c>
      <c r="R57" s="3" t="str">
        <f t="shared" ca="1" si="2"/>
        <v>2025年7月29日</v>
      </c>
      <c r="S57" s="3" t="str">
        <f t="shared" si="6"/>
        <v>2泊</v>
      </c>
      <c r="T57" s="3" t="str">
        <f t="shared" ca="1" si="3"/>
        <v>2025年7月27日 〜 2025年7月29日 2泊</v>
      </c>
      <c r="U57" s="3" t="str">
        <f t="shared" si="7"/>
        <v>2名様</v>
      </c>
      <c r="V57" s="3" t="str">
        <f t="shared" si="4"/>
        <v>テスト太郎様</v>
      </c>
      <c r="W57" s="3" t="str">
        <f>IF($L57="希望しない", "希望しない", IF($L57="メールでのご連絡", "メール：" &amp; $M57, IF($L57="電話でのご連絡", "電話：" &amp; $N57, "")))</f>
        <v>希望しない</v>
      </c>
      <c r="X57" s="3" t="str">
        <f t="shared" si="5"/>
        <v>なし</v>
      </c>
      <c r="Y57" s="11" t="s">
        <v>291</v>
      </c>
    </row>
    <row r="58" spans="1:25">
      <c r="A58" s="4">
        <v>57</v>
      </c>
      <c r="B58" s="3" t="s">
        <v>4</v>
      </c>
      <c r="C58" s="4" t="s">
        <v>3</v>
      </c>
      <c r="D58" s="4" t="s">
        <v>239</v>
      </c>
      <c r="E58" s="8" t="str">
        <f t="shared" ref="E58:E65" ca="1" si="11">TEXT(TODAY()+7-WEEKDAY(TODAY(),1)+IF(WEEKDAY(TODAY(),1)&lt;FIND("土","日月火水木金土",1),0,7),"yyyy/mm/dd")</f>
        <v>2025/07/26</v>
      </c>
      <c r="F58" s="4">
        <v>2</v>
      </c>
      <c r="G58" s="4">
        <v>1</v>
      </c>
      <c r="H58" s="4" t="s">
        <v>107</v>
      </c>
      <c r="I58" s="4" t="s">
        <v>107</v>
      </c>
      <c r="J58" s="4" t="s">
        <v>108</v>
      </c>
      <c r="K58" s="4" t="s">
        <v>38</v>
      </c>
      <c r="L58" s="4" t="s">
        <v>175</v>
      </c>
      <c r="M58" s="4" t="s">
        <v>50</v>
      </c>
      <c r="N58" s="4" t="s">
        <v>50</v>
      </c>
      <c r="O58" s="4" t="s">
        <v>50</v>
      </c>
      <c r="P58" s="3" t="s">
        <v>170</v>
      </c>
      <c r="Q58" s="3" t="str">
        <f t="shared" ca="1" si="1"/>
        <v>2025年7月26日</v>
      </c>
      <c r="R58" s="3" t="str">
        <f t="shared" ca="1" si="2"/>
        <v>2025年7月28日</v>
      </c>
      <c r="S58" s="3" t="str">
        <f t="shared" si="6"/>
        <v>2泊</v>
      </c>
      <c r="T58" s="3" t="str">
        <f t="shared" ca="1" si="3"/>
        <v>2025年7月26日 〜 2025年7月28日 2泊</v>
      </c>
      <c r="U58" s="3" t="str">
        <f t="shared" si="7"/>
        <v>1名様</v>
      </c>
      <c r="V58" s="3" t="str">
        <f t="shared" si="4"/>
        <v>テスト太郎様</v>
      </c>
      <c r="W58" s="3" t="str">
        <f>IF($L58="希望しない", "希望しない", IF($L58="メールでのご連絡", "メール：" &amp; $M58, IF($L58="電話でのご連絡", "電話：" &amp; $N58, "")))</f>
        <v>希望しない</v>
      </c>
      <c r="X58" s="3" t="str">
        <f t="shared" si="5"/>
        <v>なし</v>
      </c>
      <c r="Y58" s="11" t="s">
        <v>292</v>
      </c>
    </row>
    <row r="59" spans="1:25">
      <c r="A59" s="4">
        <v>58</v>
      </c>
      <c r="B59" s="3" t="s">
        <v>4</v>
      </c>
      <c r="C59" s="4" t="s">
        <v>3</v>
      </c>
      <c r="D59" s="4" t="s">
        <v>240</v>
      </c>
      <c r="E59" s="8" t="str">
        <f t="shared" ca="1" si="11"/>
        <v>2025/07/26</v>
      </c>
      <c r="F59" s="4">
        <v>2</v>
      </c>
      <c r="G59" s="4">
        <v>1</v>
      </c>
      <c r="H59" s="4" t="s">
        <v>107</v>
      </c>
      <c r="I59" s="4" t="s">
        <v>108</v>
      </c>
      <c r="J59" s="4" t="s">
        <v>107</v>
      </c>
      <c r="K59" s="4" t="s">
        <v>38</v>
      </c>
      <c r="L59" s="4" t="s">
        <v>175</v>
      </c>
      <c r="M59" s="4" t="s">
        <v>50</v>
      </c>
      <c r="N59" s="4" t="s">
        <v>50</v>
      </c>
      <c r="O59" s="4" t="s">
        <v>50</v>
      </c>
      <c r="P59" s="3" t="s">
        <v>171</v>
      </c>
      <c r="Q59" s="3" t="str">
        <f t="shared" ca="1" si="1"/>
        <v>2025年7月26日</v>
      </c>
      <c r="R59" s="3" t="str">
        <f t="shared" ca="1" si="2"/>
        <v>2025年7月28日</v>
      </c>
      <c r="S59" s="3" t="str">
        <f t="shared" si="6"/>
        <v>2泊</v>
      </c>
      <c r="T59" s="3" t="str">
        <f t="shared" ca="1" si="3"/>
        <v>2025年7月26日 〜 2025年7月28日 2泊</v>
      </c>
      <c r="U59" s="3" t="str">
        <f t="shared" si="7"/>
        <v>1名様</v>
      </c>
      <c r="V59" s="3" t="str">
        <f t="shared" si="4"/>
        <v>テスト太郎様</v>
      </c>
      <c r="W59" s="3" t="str">
        <f>IF($L59="希望しない", "希望しない", IF($L59="メールでのご連絡", "メール：" &amp; $M59, IF($L59="電話でのご連絡", "電話：" &amp; $N59, "")))</f>
        <v>希望しない</v>
      </c>
      <c r="X59" s="3" t="str">
        <f t="shared" si="5"/>
        <v>なし</v>
      </c>
      <c r="Y59" s="11" t="s">
        <v>293</v>
      </c>
    </row>
    <row r="60" spans="1:25">
      <c r="A60" s="4">
        <v>59</v>
      </c>
      <c r="B60" s="3" t="s">
        <v>4</v>
      </c>
      <c r="C60" s="4" t="s">
        <v>3</v>
      </c>
      <c r="D60" s="4" t="s">
        <v>245</v>
      </c>
      <c r="E60" s="8" t="str">
        <f t="shared" ca="1" si="11"/>
        <v>2025/07/26</v>
      </c>
      <c r="F60" s="4">
        <v>2</v>
      </c>
      <c r="G60" s="4">
        <v>1</v>
      </c>
      <c r="H60" s="4" t="s">
        <v>108</v>
      </c>
      <c r="I60" s="4" t="s">
        <v>107</v>
      </c>
      <c r="J60" s="4" t="s">
        <v>107</v>
      </c>
      <c r="K60" s="4" t="s">
        <v>38</v>
      </c>
      <c r="L60" s="4" t="s">
        <v>175</v>
      </c>
      <c r="M60" s="4" t="s">
        <v>50</v>
      </c>
      <c r="N60" s="4" t="s">
        <v>50</v>
      </c>
      <c r="O60" s="4" t="s">
        <v>50</v>
      </c>
      <c r="P60" s="3" t="s">
        <v>171</v>
      </c>
      <c r="Q60" s="3" t="str">
        <f t="shared" ca="1" si="1"/>
        <v>2025年7月26日</v>
      </c>
      <c r="R60" s="3" t="str">
        <f t="shared" ca="1" si="2"/>
        <v>2025年7月28日</v>
      </c>
      <c r="S60" s="3" t="str">
        <f t="shared" si="6"/>
        <v>2泊</v>
      </c>
      <c r="T60" s="3" t="str">
        <f t="shared" ca="1" si="3"/>
        <v>2025年7月26日 〜 2025年7月28日 2泊</v>
      </c>
      <c r="U60" s="3" t="str">
        <f t="shared" si="7"/>
        <v>1名様</v>
      </c>
      <c r="V60" s="3" t="str">
        <f t="shared" si="4"/>
        <v>テスト太郎様</v>
      </c>
      <c r="W60" s="3" t="str">
        <f>IF($L60="希望しない", "希望しない", IF($L60="メールでのご連絡", "メール：" &amp; $M60, IF($L60="電話でのご連絡", "電話：" &amp; $N60, "")))</f>
        <v>希望しない</v>
      </c>
      <c r="X60" s="3" t="str">
        <f t="shared" si="5"/>
        <v>なし</v>
      </c>
      <c r="Y60" s="11" t="s">
        <v>294</v>
      </c>
    </row>
    <row r="61" spans="1:25">
      <c r="A61" s="4">
        <v>60</v>
      </c>
      <c r="B61" s="3" t="s">
        <v>4</v>
      </c>
      <c r="C61" s="4" t="s">
        <v>3</v>
      </c>
      <c r="D61" s="4" t="s">
        <v>237</v>
      </c>
      <c r="E61" s="8" t="str">
        <f t="shared" ca="1" si="11"/>
        <v>2025/07/26</v>
      </c>
      <c r="F61" s="4">
        <v>2</v>
      </c>
      <c r="G61" s="4">
        <v>1</v>
      </c>
      <c r="H61" s="4" t="s">
        <v>108</v>
      </c>
      <c r="I61" s="4" t="s">
        <v>108</v>
      </c>
      <c r="J61" s="4" t="s">
        <v>108</v>
      </c>
      <c r="K61" s="4" t="s">
        <v>38</v>
      </c>
      <c r="L61" s="4" t="s">
        <v>175</v>
      </c>
      <c r="M61" s="4" t="s">
        <v>50</v>
      </c>
      <c r="N61" s="4" t="s">
        <v>50</v>
      </c>
      <c r="O61" s="4" t="s">
        <v>50</v>
      </c>
      <c r="P61" s="3" t="s">
        <v>165</v>
      </c>
      <c r="Q61" s="3" t="str">
        <f t="shared" ca="1" si="1"/>
        <v>2025年7月26日</v>
      </c>
      <c r="R61" s="3" t="str">
        <f t="shared" ca="1" si="2"/>
        <v>2025年7月28日</v>
      </c>
      <c r="S61" s="3" t="str">
        <f t="shared" si="6"/>
        <v>2泊</v>
      </c>
      <c r="T61" s="3" t="str">
        <f t="shared" ca="1" si="3"/>
        <v>2025年7月26日 〜 2025年7月28日 2泊</v>
      </c>
      <c r="U61" s="3" t="str">
        <f t="shared" si="7"/>
        <v>1名様</v>
      </c>
      <c r="V61" s="3" t="str">
        <f t="shared" si="4"/>
        <v>テスト太郎様</v>
      </c>
      <c r="W61" s="3" t="str">
        <f>IF($L61="希望しない", "希望しない", IF($L61="メールでのご連絡", "メール：" &amp; $M61, IF($L61="電話でのご連絡", "電話：" &amp; $N61, "")))</f>
        <v>希望しない</v>
      </c>
      <c r="X61" s="3" t="str">
        <f t="shared" si="5"/>
        <v>なし</v>
      </c>
      <c r="Y61" s="11" t="s">
        <v>295</v>
      </c>
    </row>
    <row r="62" spans="1:25">
      <c r="A62" s="4">
        <v>61</v>
      </c>
      <c r="B62" s="3" t="s">
        <v>4</v>
      </c>
      <c r="C62" s="4" t="s">
        <v>3</v>
      </c>
      <c r="D62" s="4" t="s">
        <v>243</v>
      </c>
      <c r="E62" s="8" t="str">
        <f t="shared" ca="1" si="11"/>
        <v>2025/07/26</v>
      </c>
      <c r="F62" s="4">
        <v>2</v>
      </c>
      <c r="G62" s="4">
        <v>2</v>
      </c>
      <c r="H62" s="4" t="s">
        <v>107</v>
      </c>
      <c r="I62" s="4" t="s">
        <v>107</v>
      </c>
      <c r="J62" s="4" t="s">
        <v>107</v>
      </c>
      <c r="K62" s="4" t="s">
        <v>38</v>
      </c>
      <c r="L62" s="4" t="s">
        <v>175</v>
      </c>
      <c r="M62" s="4" t="s">
        <v>50</v>
      </c>
      <c r="N62" s="4" t="s">
        <v>50</v>
      </c>
      <c r="O62" s="4" t="s">
        <v>50</v>
      </c>
      <c r="P62" s="3" t="s">
        <v>166</v>
      </c>
      <c r="Q62" s="3" t="str">
        <f t="shared" ca="1" si="1"/>
        <v>2025年7月26日</v>
      </c>
      <c r="R62" s="3" t="str">
        <f t="shared" ca="1" si="2"/>
        <v>2025年7月28日</v>
      </c>
      <c r="S62" s="3" t="str">
        <f t="shared" si="6"/>
        <v>2泊</v>
      </c>
      <c r="T62" s="3" t="str">
        <f t="shared" ca="1" si="3"/>
        <v>2025年7月26日 〜 2025年7月28日 2泊</v>
      </c>
      <c r="U62" s="3" t="str">
        <f t="shared" si="7"/>
        <v>2名様</v>
      </c>
      <c r="V62" s="3" t="str">
        <f t="shared" si="4"/>
        <v>テスト太郎様</v>
      </c>
      <c r="W62" s="3" t="str">
        <f>IF($L62="希望しない", "希望しない", IF($L62="メールでのご連絡", "メール：" &amp; $M62, IF($L62="電話でのご連絡", "電話：" &amp; $N62, "")))</f>
        <v>希望しない</v>
      </c>
      <c r="X62" s="3" t="str">
        <f t="shared" si="5"/>
        <v>なし</v>
      </c>
      <c r="Y62" s="11" t="s">
        <v>296</v>
      </c>
    </row>
    <row r="63" spans="1:25">
      <c r="A63" s="4">
        <v>62</v>
      </c>
      <c r="B63" s="3" t="s">
        <v>4</v>
      </c>
      <c r="C63" s="4" t="s">
        <v>3</v>
      </c>
      <c r="D63" s="4" t="s">
        <v>244</v>
      </c>
      <c r="E63" s="8" t="str">
        <f t="shared" ca="1" si="11"/>
        <v>2025/07/26</v>
      </c>
      <c r="F63" s="4">
        <v>2</v>
      </c>
      <c r="G63" s="4">
        <v>2</v>
      </c>
      <c r="H63" s="4" t="s">
        <v>107</v>
      </c>
      <c r="I63" s="4" t="s">
        <v>108</v>
      </c>
      <c r="J63" s="4" t="s">
        <v>108</v>
      </c>
      <c r="K63" s="4" t="s">
        <v>38</v>
      </c>
      <c r="L63" s="4" t="s">
        <v>175</v>
      </c>
      <c r="M63" s="4" t="s">
        <v>50</v>
      </c>
      <c r="N63" s="4" t="s">
        <v>50</v>
      </c>
      <c r="O63" s="4" t="s">
        <v>50</v>
      </c>
      <c r="P63" s="3" t="s">
        <v>172</v>
      </c>
      <c r="Q63" s="3" t="str">
        <f t="shared" ca="1" si="1"/>
        <v>2025年7月26日</v>
      </c>
      <c r="R63" s="3" t="str">
        <f t="shared" ca="1" si="2"/>
        <v>2025年7月28日</v>
      </c>
      <c r="S63" s="3" t="str">
        <f t="shared" si="6"/>
        <v>2泊</v>
      </c>
      <c r="T63" s="3" t="str">
        <f t="shared" ca="1" si="3"/>
        <v>2025年7月26日 〜 2025年7月28日 2泊</v>
      </c>
      <c r="U63" s="3" t="str">
        <f t="shared" si="7"/>
        <v>2名様</v>
      </c>
      <c r="V63" s="3" t="str">
        <f t="shared" si="4"/>
        <v>テスト太郎様</v>
      </c>
      <c r="W63" s="3" t="str">
        <f>IF($L63="希望しない", "希望しない", IF($L63="メールでのご連絡", "メール：" &amp; $M63, IF($L63="電話でのご連絡", "電話：" &amp; $N63, "")))</f>
        <v>希望しない</v>
      </c>
      <c r="X63" s="3" t="str">
        <f t="shared" si="5"/>
        <v>なし</v>
      </c>
      <c r="Y63" s="11" t="s">
        <v>267</v>
      </c>
    </row>
    <row r="64" spans="1:25">
      <c r="A64" s="4">
        <v>63</v>
      </c>
      <c r="B64" s="3" t="s">
        <v>4</v>
      </c>
      <c r="C64" s="4" t="s">
        <v>3</v>
      </c>
      <c r="D64" s="4" t="s">
        <v>246</v>
      </c>
      <c r="E64" s="8" t="str">
        <f t="shared" ca="1" si="11"/>
        <v>2025/07/26</v>
      </c>
      <c r="F64" s="4">
        <v>2</v>
      </c>
      <c r="G64" s="4">
        <v>2</v>
      </c>
      <c r="H64" s="4" t="s">
        <v>108</v>
      </c>
      <c r="I64" s="4" t="s">
        <v>107</v>
      </c>
      <c r="J64" s="4" t="s">
        <v>108</v>
      </c>
      <c r="K64" s="4" t="s">
        <v>38</v>
      </c>
      <c r="L64" s="4" t="s">
        <v>175</v>
      </c>
      <c r="M64" s="4" t="s">
        <v>50</v>
      </c>
      <c r="N64" s="4" t="s">
        <v>50</v>
      </c>
      <c r="O64" s="4" t="s">
        <v>50</v>
      </c>
      <c r="P64" s="3" t="s">
        <v>166</v>
      </c>
      <c r="Q64" s="3" t="str">
        <f t="shared" ca="1" si="1"/>
        <v>2025年7月26日</v>
      </c>
      <c r="R64" s="3" t="str">
        <f t="shared" ca="1" si="2"/>
        <v>2025年7月28日</v>
      </c>
      <c r="S64" s="3" t="str">
        <f t="shared" si="6"/>
        <v>2泊</v>
      </c>
      <c r="T64" s="3" t="str">
        <f t="shared" ca="1" si="3"/>
        <v>2025年7月26日 〜 2025年7月28日 2泊</v>
      </c>
      <c r="U64" s="3" t="str">
        <f t="shared" si="7"/>
        <v>2名様</v>
      </c>
      <c r="V64" s="3" t="str">
        <f t="shared" si="4"/>
        <v>テスト太郎様</v>
      </c>
      <c r="W64" s="3" t="str">
        <f>IF($L64="希望しない", "希望しない", IF($L64="メールでのご連絡", "メール：" &amp; $M64, IF($L64="電話でのご連絡", "電話：" &amp; $N64, "")))</f>
        <v>希望しない</v>
      </c>
      <c r="X64" s="3" t="str">
        <f t="shared" si="5"/>
        <v>なし</v>
      </c>
      <c r="Y64" s="11" t="s">
        <v>297</v>
      </c>
    </row>
    <row r="65" spans="1:25">
      <c r="A65" s="4">
        <v>64</v>
      </c>
      <c r="B65" s="3" t="s">
        <v>4</v>
      </c>
      <c r="C65" s="4" t="s">
        <v>3</v>
      </c>
      <c r="D65" s="4" t="s">
        <v>241</v>
      </c>
      <c r="E65" s="8" t="str">
        <f t="shared" ca="1" si="11"/>
        <v>2025/07/26</v>
      </c>
      <c r="F65" s="4">
        <v>2</v>
      </c>
      <c r="G65" s="4">
        <v>2</v>
      </c>
      <c r="H65" s="4" t="s">
        <v>108</v>
      </c>
      <c r="I65" s="4" t="s">
        <v>108</v>
      </c>
      <c r="J65" s="4" t="s">
        <v>107</v>
      </c>
      <c r="K65" s="4" t="s">
        <v>38</v>
      </c>
      <c r="L65" s="4" t="s">
        <v>175</v>
      </c>
      <c r="M65" s="4" t="s">
        <v>50</v>
      </c>
      <c r="N65" s="4" t="s">
        <v>50</v>
      </c>
      <c r="O65" s="4" t="s">
        <v>50</v>
      </c>
      <c r="P65" s="3" t="s">
        <v>168</v>
      </c>
      <c r="Q65" s="3" t="str">
        <f t="shared" ca="1" si="1"/>
        <v>2025年7月26日</v>
      </c>
      <c r="R65" s="3" t="str">
        <f t="shared" ca="1" si="2"/>
        <v>2025年7月28日</v>
      </c>
      <c r="S65" s="3" t="str">
        <f t="shared" si="6"/>
        <v>2泊</v>
      </c>
      <c r="T65" s="3" t="str">
        <f t="shared" ca="1" si="3"/>
        <v>2025年7月26日 〜 2025年7月28日 2泊</v>
      </c>
      <c r="U65" s="3" t="str">
        <f t="shared" si="7"/>
        <v>2名様</v>
      </c>
      <c r="V65" s="3" t="str">
        <f t="shared" si="4"/>
        <v>テスト太郎様</v>
      </c>
      <c r="W65" s="3" t="str">
        <f>IF($L65="希望しない", "希望しない", IF($L65="メールでのご連絡", "メール：" &amp; $M65, IF($L65="電話でのご連絡", "電話：" &amp; $N65, "")))</f>
        <v>希望しない</v>
      </c>
      <c r="X65" s="3" t="str">
        <f t="shared" si="5"/>
        <v>なし</v>
      </c>
      <c r="Y65" s="11" t="s">
        <v>298</v>
      </c>
    </row>
  </sheetData>
  <phoneticPr fontId="1"/>
  <dataValidations count="1">
    <dataValidation type="list" allowBlank="1" showInputMessage="1" showErrorMessage="1" sqref="H2:J65" xr:uid="{2E99DF5F-86AE-4001-80C7-F6881A0FA3F9}">
      <formula1>"ON,OFF"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1-1</vt:lpstr>
      <vt:lpstr>1-2</vt:lpstr>
      <vt:lpstr>1-3-1</vt:lpstr>
      <vt:lpstr>1-3-2</vt:lpstr>
      <vt:lpstr>2-1-1</vt:lpstr>
      <vt:lpstr>2-2</vt:lpstr>
      <vt:lpstr>2-1-2</vt:lpstr>
      <vt:lpstr>2-3-2</vt:lpstr>
      <vt:lpstr>2-3-1</vt:lpstr>
      <vt:lpstr>2-3-3</vt:lpstr>
      <vt:lpstr>2-4-1</vt:lpstr>
      <vt:lpstr>2-4-2</vt:lpstr>
      <vt:lpstr>2-5-1</vt:lpstr>
      <vt:lpstr>2-5-2</vt:lpstr>
      <vt:lpstr>2-5-3</vt:lpstr>
      <vt:lpstr>2-6</vt:lpstr>
      <vt:lpstr>2-7</vt:lpstr>
      <vt:lpstr>3-1</vt:lpstr>
      <vt:lpstr>3-2-1</vt:lpstr>
      <vt:lpstr>3-2-2</vt:lpstr>
      <vt:lpstr>3-3-1</vt:lpstr>
      <vt:lpstr>3-3-2</vt:lpstr>
      <vt:lpstr>3-4</vt:lpstr>
      <vt:lpstr>3-5</vt:lpstr>
      <vt:lpstr>3-6</vt:lpstr>
      <vt:lpstr>3-7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dcterms:created xsi:type="dcterms:W3CDTF">2015-06-05T18:19:34Z</dcterms:created>
  <dcterms:modified xsi:type="dcterms:W3CDTF">2025-07-25T02:33:22Z</dcterms:modified>
</cp:coreProperties>
</file>