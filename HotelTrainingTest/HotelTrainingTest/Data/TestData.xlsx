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-hiroshima\Documents\Practice\HotelTrainingTest\HotelTrainingTest\Data\"/>
    </mc:Choice>
  </mc:AlternateContent>
  <xr:revisionPtr revIDLastSave="0" documentId="13_ncr:1_{E5CC68F7-36A1-40D5-88A5-26245D26497D}" xr6:coauthVersionLast="47" xr6:coauthVersionMax="47" xr10:uidLastSave="{00000000-0000-0000-0000-000000000000}"/>
  <bookViews>
    <workbookView xWindow="405" yWindow="900" windowWidth="28395" windowHeight="15300" firstSheet="2" activeTab="7" xr2:uid="{4D3B8517-8D18-4839-BB31-B2B2AA6B6D51}"/>
  </bookViews>
  <sheets>
    <sheet name="Sheet1" sheetId="1" r:id="rId1"/>
    <sheet name="Sheet2" sheetId="2" r:id="rId2"/>
    <sheet name="Sheet3" sheetId="3" r:id="rId3"/>
    <sheet name="Sheet4" sheetId="4" r:id="rId4"/>
    <sheet name="Training1" sheetId="5" r:id="rId5"/>
    <sheet name="Training2" sheetId="6" r:id="rId6"/>
    <sheet name="Training3" sheetId="7" r:id="rId7"/>
    <sheet name="Training4" sheetId="8" r:id="rId8"/>
    <sheet name="UserCode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8" l="1"/>
  <c r="P2" i="8"/>
  <c r="O2" i="8"/>
  <c r="N2" i="8"/>
  <c r="M2" i="8"/>
</calcChain>
</file>

<file path=xl/sharedStrings.xml><?xml version="1.0" encoding="utf-8"?>
<sst xmlns="http://schemas.openxmlformats.org/spreadsheetml/2006/main" count="113" uniqueCount="74">
  <si>
    <t>id</t>
    <phoneticPr fontId="1"/>
  </si>
  <si>
    <t>val1</t>
    <phoneticPr fontId="1"/>
  </si>
  <si>
    <t>val2</t>
  </si>
  <si>
    <t>val3</t>
  </si>
  <si>
    <t>val4</t>
  </si>
  <si>
    <t>val5</t>
  </si>
  <si>
    <t>山田太郎</t>
    <rPh sb="0" eb="2">
      <t>ヤマダ</t>
    </rPh>
    <rPh sb="2" eb="4">
      <t>タロウ</t>
    </rPh>
    <phoneticPr fontId="1"/>
  </si>
  <si>
    <t>username</t>
    <phoneticPr fontId="1"/>
  </si>
  <si>
    <t>1</t>
    <phoneticPr fontId="1"/>
  </si>
  <si>
    <t>total_bill</t>
    <phoneticPr fontId="1"/>
  </si>
  <si>
    <t>planName</t>
    <phoneticPr fontId="1"/>
  </si>
  <si>
    <t>お得な特典付きプラン</t>
    <phoneticPr fontId="1"/>
  </si>
  <si>
    <t>素泊まり</t>
    <phoneticPr fontId="1"/>
  </si>
  <si>
    <t>出張ビジネスプラン</t>
    <phoneticPr fontId="1"/>
  </si>
  <si>
    <t>エステ・マッサージプラン</t>
    <phoneticPr fontId="1"/>
  </si>
  <si>
    <t>貸し切り露天風呂プラン</t>
    <phoneticPr fontId="1"/>
  </si>
  <si>
    <t>カップル限定プラン</t>
    <phoneticPr fontId="1"/>
  </si>
  <si>
    <t>テーマパーク優待プラン</t>
    <phoneticPr fontId="1"/>
  </si>
  <si>
    <t>2</t>
    <phoneticPr fontId="1"/>
  </si>
  <si>
    <t>3</t>
    <phoneticPr fontId="1"/>
  </si>
  <si>
    <t>4</t>
  </si>
  <si>
    <t>5</t>
  </si>
  <si>
    <t>6</t>
  </si>
  <si>
    <t>7</t>
  </si>
  <si>
    <t>room</t>
    <phoneticPr fontId="1"/>
  </si>
  <si>
    <t>指定なし</t>
    <rPh sb="0" eb="2">
      <t>シテイ</t>
    </rPh>
    <phoneticPr fontId="1"/>
  </si>
  <si>
    <t>7,000円</t>
    <phoneticPr fontId="1"/>
  </si>
  <si>
    <t>5,500円</t>
    <phoneticPr fontId="1"/>
  </si>
  <si>
    <t>7,500円</t>
    <phoneticPr fontId="1"/>
  </si>
  <si>
    <t>9,000円</t>
    <phoneticPr fontId="1"/>
  </si>
  <si>
    <t>16,000円</t>
    <phoneticPr fontId="1"/>
  </si>
  <si>
    <t>10,000円</t>
    <phoneticPr fontId="1"/>
  </si>
  <si>
    <t>email</t>
    <phoneticPr fontId="1"/>
  </si>
  <si>
    <t>password</t>
    <phoneticPr fontId="1"/>
  </si>
  <si>
    <t>ichiro@example.com</t>
    <phoneticPr fontId="1"/>
  </si>
  <si>
    <t>password_confirmation</t>
    <phoneticPr fontId="1"/>
  </si>
  <si>
    <t>abcde@example.com</t>
    <phoneticPr fontId="1"/>
  </si>
  <si>
    <t>廣島史也</t>
    <rPh sb="0" eb="4">
      <t>ヒロシマフミヤ</t>
    </rPh>
    <phoneticPr fontId="1"/>
  </si>
  <si>
    <t>rank</t>
    <phoneticPr fontId="1"/>
  </si>
  <si>
    <t>プレミアム会員</t>
    <rPh sb="5" eb="7">
      <t>カイイン</t>
    </rPh>
    <phoneticPr fontId="1"/>
  </si>
  <si>
    <t>sakura@example.com</t>
    <phoneticPr fontId="1"/>
  </si>
  <si>
    <t>pass1234</t>
    <phoneticPr fontId="1"/>
  </si>
  <si>
    <t>一般会員</t>
    <rPh sb="0" eb="2">
      <t>イッパン</t>
    </rPh>
    <rPh sb="2" eb="4">
      <t>カイイン</t>
    </rPh>
    <phoneticPr fontId="1"/>
  </si>
  <si>
    <t>お得な特典付きプラン</t>
    <rPh sb="1" eb="2">
      <t>トク</t>
    </rPh>
    <rPh sb="3" eb="5">
      <t>トクテン</t>
    </rPh>
    <rPh sb="5" eb="6">
      <t>ツ</t>
    </rPh>
    <phoneticPr fontId="1"/>
  </si>
  <si>
    <t>date</t>
    <phoneticPr fontId="1"/>
  </si>
  <si>
    <t>term</t>
    <phoneticPr fontId="1"/>
  </si>
  <si>
    <t>head_count</t>
    <phoneticPr fontId="1"/>
  </si>
  <si>
    <t>contact</t>
    <phoneticPr fontId="1"/>
  </si>
  <si>
    <t>2025/07/16</t>
    <phoneticPr fontId="1"/>
  </si>
  <si>
    <t>10,000円</t>
    <rPh sb="6" eb="7">
      <t>エン</t>
    </rPh>
    <phoneticPr fontId="1"/>
  </si>
  <si>
    <t>breakfast</t>
    <phoneticPr fontId="1"/>
  </si>
  <si>
    <t>early-check-in</t>
    <phoneticPr fontId="1"/>
  </si>
  <si>
    <t>sightseeing</t>
    <phoneticPr fontId="1"/>
  </si>
  <si>
    <t>checkyear</t>
    <phoneticPr fontId="1"/>
  </si>
  <si>
    <t>checkmonth</t>
    <phoneticPr fontId="1"/>
  </si>
  <si>
    <t>checkday</t>
    <phoneticPr fontId="1"/>
  </si>
  <si>
    <t>一般会員</t>
    <rPh sb="0" eb="4">
      <t>イッパンカイイン</t>
    </rPh>
    <phoneticPr fontId="1"/>
  </si>
  <si>
    <t>山田花子</t>
    <rPh sb="0" eb="4">
      <t>ヤマダハナコ</t>
    </rPh>
    <phoneticPr fontId="1"/>
  </si>
  <si>
    <t>address</t>
    <phoneticPr fontId="1"/>
  </si>
  <si>
    <t>tel</t>
    <phoneticPr fontId="1"/>
  </si>
  <si>
    <t>gender</t>
    <phoneticPr fontId="1"/>
  </si>
  <si>
    <t>birthday</t>
    <phoneticPr fontId="1"/>
  </si>
  <si>
    <t>notification</t>
    <phoneticPr fontId="1"/>
  </si>
  <si>
    <t>01133335555</t>
    <phoneticPr fontId="1"/>
  </si>
  <si>
    <t>北海道札幌市</t>
    <rPh sb="0" eb="3">
      <t>ホッカイドウ</t>
    </rPh>
    <rPh sb="3" eb="6">
      <t>サッポロシ</t>
    </rPh>
    <phoneticPr fontId="1"/>
  </si>
  <si>
    <t>女</t>
    <rPh sb="0" eb="1">
      <t>オンナ</t>
    </rPh>
    <phoneticPr fontId="1"/>
  </si>
  <si>
    <t>ON</t>
    <phoneticPr fontId="1"/>
  </si>
  <si>
    <t>Auto-test@example.com</t>
    <phoneticPr fontId="1"/>
  </si>
  <si>
    <t>pass9876</t>
    <phoneticPr fontId="1"/>
  </si>
  <si>
    <t>2000-11-11</t>
    <phoneticPr fontId="1"/>
  </si>
  <si>
    <t>checkcontact</t>
    <phoneticPr fontId="1"/>
  </si>
  <si>
    <t>○</t>
  </si>
  <si>
    <t>no</t>
  </si>
  <si>
    <t>checkterm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</si>
</sst>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1" xfId="0" applyNumberFormat="1" applyFill="1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E09F-00EF-4430-BE03-662592834432}">
  <dimension ref="A1:I17"/>
  <sheetViews>
    <sheetView workbookViewId="0"/>
  </sheetViews>
  <sheetFormatPr defaultRowHeight="18.75" x14ac:dyDescent="0.4"/>
  <cols>
    <col min="1" max="1" width="17.875" style="1" customWidth="1"/>
    <col min="2" max="16384" width="9" style="1"/>
  </cols>
  <sheetData>
    <row r="1" spans="1:9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</row>
    <row r="2" spans="1:9" x14ac:dyDescent="0.4">
      <c r="A2" s="3"/>
      <c r="B2" s="3"/>
      <c r="C2" s="3"/>
      <c r="D2" s="3"/>
      <c r="E2" s="3"/>
      <c r="F2" s="3"/>
      <c r="G2" s="3"/>
      <c r="H2" s="3"/>
      <c r="I2" s="3"/>
    </row>
    <row r="3" spans="1:9" x14ac:dyDescent="0.4">
      <c r="A3" s="3"/>
      <c r="B3" s="3"/>
      <c r="C3" s="3"/>
      <c r="D3" s="3"/>
      <c r="E3" s="3"/>
      <c r="F3" s="3"/>
      <c r="G3" s="3"/>
      <c r="H3" s="3"/>
      <c r="I3" s="3"/>
    </row>
    <row r="4" spans="1:9" x14ac:dyDescent="0.4">
      <c r="A4" s="3"/>
      <c r="B4" s="3"/>
      <c r="C4" s="3"/>
      <c r="D4" s="3"/>
      <c r="E4" s="3"/>
      <c r="F4" s="3"/>
      <c r="G4" s="3"/>
      <c r="H4" s="3"/>
      <c r="I4" s="3"/>
    </row>
    <row r="5" spans="1:9" x14ac:dyDescent="0.4">
      <c r="A5" s="3"/>
      <c r="B5" s="3"/>
      <c r="C5" s="3"/>
      <c r="D5" s="3"/>
      <c r="E5" s="3"/>
      <c r="F5" s="3"/>
      <c r="G5" s="3"/>
      <c r="H5" s="3"/>
      <c r="I5" s="3"/>
    </row>
    <row r="6" spans="1:9" x14ac:dyDescent="0.4">
      <c r="A6" s="3"/>
      <c r="B6" s="3"/>
      <c r="C6" s="3"/>
      <c r="D6" s="3"/>
      <c r="E6" s="3"/>
      <c r="F6" s="3"/>
      <c r="G6" s="3"/>
      <c r="H6" s="3"/>
      <c r="I6" s="3"/>
    </row>
    <row r="7" spans="1:9" x14ac:dyDescent="0.4">
      <c r="A7" s="3"/>
      <c r="B7" s="3"/>
      <c r="C7" s="3"/>
      <c r="D7" s="3"/>
      <c r="E7" s="3"/>
      <c r="F7" s="3"/>
      <c r="G7" s="3"/>
      <c r="H7" s="3"/>
      <c r="I7" s="3"/>
    </row>
    <row r="8" spans="1:9" x14ac:dyDescent="0.4">
      <c r="A8" s="3"/>
      <c r="B8" s="3"/>
      <c r="C8" s="3"/>
      <c r="D8" s="3"/>
      <c r="E8" s="3"/>
      <c r="F8" s="3"/>
      <c r="G8" s="3"/>
      <c r="H8" s="3"/>
      <c r="I8" s="3"/>
    </row>
    <row r="9" spans="1:9" x14ac:dyDescent="0.4">
      <c r="A9" s="3"/>
      <c r="B9" s="3"/>
      <c r="C9" s="3"/>
      <c r="D9" s="3"/>
      <c r="E9" s="3"/>
      <c r="F9" s="3"/>
      <c r="G9" s="3"/>
      <c r="H9" s="3"/>
      <c r="I9" s="3"/>
    </row>
    <row r="10" spans="1:9" x14ac:dyDescent="0.4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4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4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4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4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4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4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4">
      <c r="A17" s="3"/>
      <c r="B17" s="3"/>
      <c r="C17" s="3"/>
      <c r="D17" s="3"/>
      <c r="E17" s="3"/>
      <c r="F17" s="3"/>
      <c r="G17" s="3"/>
      <c r="H17" s="3"/>
      <c r="I17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2838-7FC4-4B02-AEE0-5014FEA9DF43}">
  <dimension ref="A1:B2"/>
  <sheetViews>
    <sheetView workbookViewId="0"/>
  </sheetViews>
  <sheetFormatPr defaultRowHeight="18.75" x14ac:dyDescent="0.4"/>
  <cols>
    <col min="1" max="1" width="2.5" bestFit="1" customWidth="1"/>
  </cols>
  <sheetData>
    <row r="1" spans="1:2" x14ac:dyDescent="0.4">
      <c r="B1" t="s">
        <v>7</v>
      </c>
    </row>
    <row r="2" spans="1:2" x14ac:dyDescent="0.4">
      <c r="A2">
        <v>1</v>
      </c>
      <c r="B2" t="s">
        <v>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BC8A-A066-465A-A8E1-9F3CCD6C3994}">
  <dimension ref="A1:B2"/>
  <sheetViews>
    <sheetView workbookViewId="0"/>
  </sheetViews>
  <sheetFormatPr defaultRowHeight="18.75" x14ac:dyDescent="0.4"/>
  <cols>
    <col min="1" max="1" width="2.5" style="1" bestFit="1" customWidth="1"/>
    <col min="2" max="16384" width="9" style="1"/>
  </cols>
  <sheetData>
    <row r="1" spans="1:2" x14ac:dyDescent="0.4">
      <c r="B1" s="1" t="s">
        <v>9</v>
      </c>
    </row>
    <row r="2" spans="1:2" x14ac:dyDescent="0.4">
      <c r="A2" s="1" t="s">
        <v>8</v>
      </c>
      <c r="B2" s="1" t="s">
        <v>28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2A0D-B731-48C2-A81A-BFAFA6793886}">
  <dimension ref="A1:D8"/>
  <sheetViews>
    <sheetView workbookViewId="0"/>
  </sheetViews>
  <sheetFormatPr defaultRowHeight="18.75" x14ac:dyDescent="0.4"/>
  <cols>
    <col min="1" max="1" width="2.5" style="1" bestFit="1" customWidth="1"/>
    <col min="2" max="2" width="21.375" style="1" bestFit="1" customWidth="1"/>
    <col min="3" max="16384" width="9" style="1"/>
  </cols>
  <sheetData>
    <row r="1" spans="1:4" x14ac:dyDescent="0.4">
      <c r="B1" s="1" t="s">
        <v>10</v>
      </c>
      <c r="C1" s="1" t="s">
        <v>9</v>
      </c>
      <c r="D1" s="1" t="s">
        <v>24</v>
      </c>
    </row>
    <row r="2" spans="1:4" x14ac:dyDescent="0.4">
      <c r="A2" s="1" t="s">
        <v>8</v>
      </c>
      <c r="B2" s="1" t="s">
        <v>11</v>
      </c>
      <c r="C2" s="1" t="s">
        <v>26</v>
      </c>
    </row>
    <row r="3" spans="1:4" x14ac:dyDescent="0.4">
      <c r="A3" s="1" t="s">
        <v>18</v>
      </c>
      <c r="B3" s="1" t="s">
        <v>12</v>
      </c>
      <c r="C3" s="1" t="s">
        <v>27</v>
      </c>
    </row>
    <row r="4" spans="1:4" x14ac:dyDescent="0.4">
      <c r="A4" s="1" t="s">
        <v>19</v>
      </c>
      <c r="B4" s="1" t="s">
        <v>13</v>
      </c>
      <c r="C4" s="1" t="s">
        <v>28</v>
      </c>
    </row>
    <row r="5" spans="1:4" x14ac:dyDescent="0.4">
      <c r="A5" s="1" t="s">
        <v>20</v>
      </c>
      <c r="B5" s="1" t="s">
        <v>14</v>
      </c>
      <c r="C5" s="1" t="s">
        <v>29</v>
      </c>
      <c r="D5" s="1" t="s">
        <v>25</v>
      </c>
    </row>
    <row r="6" spans="1:4" x14ac:dyDescent="0.4">
      <c r="A6" s="1" t="s">
        <v>21</v>
      </c>
      <c r="B6" s="1" t="s">
        <v>15</v>
      </c>
      <c r="C6" s="1" t="s">
        <v>29</v>
      </c>
      <c r="D6" s="1" t="s">
        <v>25</v>
      </c>
    </row>
    <row r="7" spans="1:4" x14ac:dyDescent="0.4">
      <c r="A7" s="1" t="s">
        <v>22</v>
      </c>
      <c r="B7" s="1" t="s">
        <v>16</v>
      </c>
      <c r="C7" s="1" t="s">
        <v>30</v>
      </c>
    </row>
    <row r="8" spans="1:4" x14ac:dyDescent="0.4">
      <c r="A8" s="1" t="s">
        <v>23</v>
      </c>
      <c r="B8" s="1" t="s">
        <v>17</v>
      </c>
      <c r="C8" s="1" t="s">
        <v>31</v>
      </c>
      <c r="D8" s="1" t="s">
        <v>25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D43A-56B1-4491-B48B-260CE2D11D68}">
  <dimension ref="A1:C2"/>
  <sheetViews>
    <sheetView workbookViewId="0"/>
  </sheetViews>
  <sheetFormatPr defaultRowHeight="18.75" x14ac:dyDescent="0.4"/>
  <cols>
    <col min="1" max="1" width="3.125" bestFit="1" customWidth="1"/>
    <col min="2" max="2" width="20.125" bestFit="1" customWidth="1"/>
  </cols>
  <sheetData>
    <row r="1" spans="1:3" x14ac:dyDescent="0.4">
      <c r="A1" s="2" t="s">
        <v>0</v>
      </c>
      <c r="B1" s="2" t="s">
        <v>32</v>
      </c>
      <c r="C1" s="2" t="s">
        <v>33</v>
      </c>
    </row>
    <row r="2" spans="1:3" x14ac:dyDescent="0.4">
      <c r="A2" s="3" t="s">
        <v>8</v>
      </c>
      <c r="B2" s="4" t="s">
        <v>34</v>
      </c>
      <c r="C2" s="3" t="s">
        <v>33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DB66C-777B-4E70-99CD-868051DA5AF2}">
  <dimension ref="A1:F2"/>
  <sheetViews>
    <sheetView workbookViewId="0"/>
  </sheetViews>
  <sheetFormatPr defaultRowHeight="18.75" x14ac:dyDescent="0.4"/>
  <cols>
    <col min="1" max="1" width="3.125" style="1" bestFit="1" customWidth="1"/>
    <col min="2" max="2" width="20.625" style="1" bestFit="1" customWidth="1"/>
    <col min="3" max="3" width="9" style="1"/>
    <col min="4" max="4" width="22.875" style="1" bestFit="1" customWidth="1"/>
    <col min="5" max="5" width="10" style="1" bestFit="1" customWidth="1"/>
    <col min="6" max="6" width="14.75" style="1" bestFit="1" customWidth="1"/>
    <col min="7" max="16384" width="9" style="1"/>
  </cols>
  <sheetData>
    <row r="1" spans="1:6" x14ac:dyDescent="0.4">
      <c r="A1" s="2" t="s">
        <v>0</v>
      </c>
      <c r="B1" s="2" t="s">
        <v>32</v>
      </c>
      <c r="C1" s="2" t="s">
        <v>33</v>
      </c>
      <c r="D1" s="2" t="s">
        <v>35</v>
      </c>
      <c r="E1" s="2" t="s">
        <v>7</v>
      </c>
      <c r="F1" s="2" t="s">
        <v>38</v>
      </c>
    </row>
    <row r="2" spans="1:6" x14ac:dyDescent="0.4">
      <c r="A2" s="3" t="s">
        <v>8</v>
      </c>
      <c r="B2" s="4" t="s">
        <v>36</v>
      </c>
      <c r="C2" s="3" t="s">
        <v>33</v>
      </c>
      <c r="D2" s="3" t="s">
        <v>33</v>
      </c>
      <c r="E2" s="3" t="s">
        <v>37</v>
      </c>
      <c r="F2" s="3" t="s">
        <v>39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36F1-77A7-40D4-936D-0BE344DE476E}">
  <dimension ref="A1:D2"/>
  <sheetViews>
    <sheetView workbookViewId="0"/>
  </sheetViews>
  <sheetFormatPr defaultRowHeight="18.75" x14ac:dyDescent="0.4"/>
  <cols>
    <col min="1" max="1" width="3.125" bestFit="1" customWidth="1"/>
    <col min="2" max="2" width="20.125" bestFit="1" customWidth="1"/>
    <col min="4" max="4" width="14.75" bestFit="1" customWidth="1"/>
  </cols>
  <sheetData>
    <row r="1" spans="1:4" x14ac:dyDescent="0.4">
      <c r="A1" s="2" t="s">
        <v>0</v>
      </c>
      <c r="B1" s="2" t="s">
        <v>32</v>
      </c>
      <c r="C1" s="2" t="s">
        <v>33</v>
      </c>
      <c r="D1" s="2" t="s">
        <v>38</v>
      </c>
    </row>
    <row r="2" spans="1:4" x14ac:dyDescent="0.4">
      <c r="A2" s="3" t="s">
        <v>8</v>
      </c>
      <c r="B2" s="4" t="s">
        <v>40</v>
      </c>
      <c r="C2" s="3" t="s">
        <v>41</v>
      </c>
      <c r="D2" s="3" t="s">
        <v>42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3262-CD32-4527-A875-0AA41EEE7BB3}">
  <dimension ref="A1:P2"/>
  <sheetViews>
    <sheetView tabSelected="1" workbookViewId="0"/>
  </sheetViews>
  <sheetFormatPr defaultRowHeight="18.75" x14ac:dyDescent="0.4"/>
  <cols>
    <col min="1" max="1" width="3.125" style="1" bestFit="1" customWidth="1"/>
    <col min="2" max="2" width="25.5" style="1" bestFit="1" customWidth="1"/>
    <col min="3" max="3" width="11.375" style="1" bestFit="1" customWidth="1"/>
    <col min="4" max="4" width="5.375" style="1" bestFit="1" customWidth="1"/>
    <col min="5" max="5" width="11.75" style="1" bestFit="1" customWidth="1"/>
    <col min="6" max="6" width="11.75" style="1" customWidth="1"/>
    <col min="7" max="7" width="14.375" style="1" bestFit="1" customWidth="1"/>
    <col min="8" max="8" width="11.75" style="1" customWidth="1"/>
    <col min="9" max="9" width="10" style="1" bestFit="1" customWidth="1"/>
    <col min="10" max="10" width="7.875" style="1" bestFit="1" customWidth="1"/>
    <col min="11" max="11" width="8.875" style="1" bestFit="1" customWidth="1"/>
    <col min="12" max="12" width="10.5" style="1" bestFit="1" customWidth="1"/>
    <col min="13" max="13" width="12.75" style="1" bestFit="1" customWidth="1"/>
    <col min="14" max="14" width="12.375" style="1" bestFit="1" customWidth="1"/>
    <col min="15" max="15" width="9.625" style="1" bestFit="1" customWidth="1"/>
    <col min="16" max="16" width="13.375" style="1" bestFit="1" customWidth="1"/>
    <col min="17" max="17" width="12.375" style="1" bestFit="1" customWidth="1"/>
    <col min="18" max="16384" width="9" style="1"/>
  </cols>
  <sheetData>
    <row r="1" spans="1:16" x14ac:dyDescent="0.4">
      <c r="A1" s="2" t="s">
        <v>0</v>
      </c>
      <c r="B1" s="2" t="s">
        <v>10</v>
      </c>
      <c r="C1" s="2" t="s">
        <v>44</v>
      </c>
      <c r="D1" s="2" t="s">
        <v>45</v>
      </c>
      <c r="E1" s="2" t="s">
        <v>46</v>
      </c>
      <c r="F1" s="2" t="s">
        <v>50</v>
      </c>
      <c r="G1" s="2" t="s">
        <v>51</v>
      </c>
      <c r="H1" s="2" t="s">
        <v>52</v>
      </c>
      <c r="I1" s="2" t="s">
        <v>7</v>
      </c>
      <c r="J1" s="2" t="s">
        <v>47</v>
      </c>
      <c r="K1" s="2" t="s">
        <v>9</v>
      </c>
      <c r="L1" s="2" t="s">
        <v>73</v>
      </c>
      <c r="M1" s="2" t="s">
        <v>53</v>
      </c>
      <c r="N1" s="2" t="s">
        <v>54</v>
      </c>
      <c r="O1" s="2" t="s">
        <v>55</v>
      </c>
      <c r="P1" s="2" t="s">
        <v>70</v>
      </c>
    </row>
    <row r="2" spans="1:16" x14ac:dyDescent="0.4">
      <c r="A2" s="3" t="s">
        <v>8</v>
      </c>
      <c r="B2" s="4" t="s">
        <v>43</v>
      </c>
      <c r="C2" s="5" t="s">
        <v>48</v>
      </c>
      <c r="D2" s="3" t="s">
        <v>8</v>
      </c>
      <c r="E2" s="3" t="s">
        <v>8</v>
      </c>
      <c r="F2" s="3" t="s">
        <v>71</v>
      </c>
      <c r="G2" s="3" t="s">
        <v>71</v>
      </c>
      <c r="H2" s="3" t="s">
        <v>71</v>
      </c>
      <c r="I2" s="3" t="s">
        <v>37</v>
      </c>
      <c r="J2" s="3" t="s">
        <v>72</v>
      </c>
      <c r="K2" s="3" t="s">
        <v>49</v>
      </c>
      <c r="L2" s="6" t="str">
        <f>$D2&amp;"泊"</f>
        <v>1泊</v>
      </c>
      <c r="M2" s="4">
        <f>YEAR($C2)</f>
        <v>2025</v>
      </c>
      <c r="N2" s="4">
        <f>MONTH($C2)</f>
        <v>7</v>
      </c>
      <c r="O2" s="4">
        <f>DAY($C2)</f>
        <v>16</v>
      </c>
      <c r="P2" s="4" t="str">
        <f>IF($J2="no", "希望しない", IF($J2="email", "メールでのご連絡", IF($J2="tel", "電話でのご連絡", "")))</f>
        <v>希望しない</v>
      </c>
    </row>
  </sheetData>
  <phoneticPr fontId="1"/>
  <dataValidations count="2">
    <dataValidation type="list" allowBlank="1" showInputMessage="1" showErrorMessage="1" sqref="J2" xr:uid="{EB7BA656-576A-4221-97B2-ABFE611F65C4}">
      <formula1>"no,email,tel"</formula1>
    </dataValidation>
    <dataValidation type="list" allowBlank="1" showInputMessage="1" showErrorMessage="1" sqref="F2:H2" xr:uid="{19FBB97D-8A5F-4F28-9871-35BFDF5D2996}">
      <formula1>"○"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5946-29D2-49D6-B1D9-C9986AFD85A2}">
  <dimension ref="A1:K2"/>
  <sheetViews>
    <sheetView workbookViewId="0"/>
  </sheetViews>
  <sheetFormatPr defaultRowHeight="18.75" x14ac:dyDescent="0.4"/>
  <cols>
    <col min="1" max="1" width="3.125" style="1" bestFit="1" customWidth="1"/>
    <col min="2" max="2" width="23.875" style="1" bestFit="1" customWidth="1"/>
    <col min="3" max="3" width="9" style="1"/>
    <col min="4" max="4" width="22.875" style="1" bestFit="1" customWidth="1"/>
    <col min="5" max="5" width="10" style="1" bestFit="1" customWidth="1"/>
    <col min="6" max="6" width="9" style="1" bestFit="1" customWidth="1"/>
    <col min="7" max="7" width="13" style="1" bestFit="1" customWidth="1"/>
    <col min="8" max="8" width="12.75" style="1" bestFit="1" customWidth="1"/>
    <col min="9" max="9" width="9" style="1"/>
    <col min="10" max="10" width="11.375" style="1" bestFit="1" customWidth="1"/>
    <col min="11" max="11" width="11.25" style="1" bestFit="1" customWidth="1"/>
    <col min="12" max="16384" width="9" style="1"/>
  </cols>
  <sheetData>
    <row r="1" spans="1:11" x14ac:dyDescent="0.4">
      <c r="A1" s="2" t="s">
        <v>0</v>
      </c>
      <c r="B1" s="2" t="s">
        <v>32</v>
      </c>
      <c r="C1" s="2" t="s">
        <v>33</v>
      </c>
      <c r="D1" s="2" t="s">
        <v>35</v>
      </c>
      <c r="E1" s="2" t="s">
        <v>7</v>
      </c>
      <c r="F1" s="2" t="s">
        <v>38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</row>
    <row r="2" spans="1:11" x14ac:dyDescent="0.4">
      <c r="A2" s="3" t="s">
        <v>8</v>
      </c>
      <c r="B2" s="4" t="s">
        <v>67</v>
      </c>
      <c r="C2" s="3" t="s">
        <v>68</v>
      </c>
      <c r="D2" s="3" t="s">
        <v>68</v>
      </c>
      <c r="E2" s="3" t="s">
        <v>57</v>
      </c>
      <c r="F2" s="3" t="s">
        <v>56</v>
      </c>
      <c r="G2" s="3" t="s">
        <v>64</v>
      </c>
      <c r="H2" s="3" t="s">
        <v>63</v>
      </c>
      <c r="I2" s="3" t="s">
        <v>65</v>
      </c>
      <c r="J2" s="3" t="s">
        <v>69</v>
      </c>
      <c r="K2" s="3" t="s">
        <v>66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Training1</vt:lpstr>
      <vt:lpstr>Training2</vt:lpstr>
      <vt:lpstr>Training3</vt:lpstr>
      <vt:lpstr>Training4</vt:lpstr>
      <vt:lpstr>UserCode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服部 一輝</dc:creator>
  <cp:lastModifiedBy>廣島 史也</cp:lastModifiedBy>
  <dcterms:created xsi:type="dcterms:W3CDTF">2025-01-07T06:46:15Z</dcterms:created>
  <dcterms:modified xsi:type="dcterms:W3CDTF">2025-07-11T04:47:43Z</dcterms:modified>
</cp:coreProperties>
</file>